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7781ef64b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15e2017e5a294799"/>
    <x:sheet xmlns:r="http://schemas.openxmlformats.org/officeDocument/2006/relationships" name="Dashboard" sheetId="2" r:id="Rd24d721a0e134f01"/>
    <x:sheet xmlns:r="http://schemas.openxmlformats.org/officeDocument/2006/relationships" name="Jobs" sheetId="3" r:id="Ra4d337f8933047de"/>
    <x:sheet xmlns:r="http://schemas.openxmlformats.org/officeDocument/2006/relationships" name="Contacts" sheetId="4" r:id="R0b090e62cddf409d"/>
    <x:sheet xmlns:r="http://schemas.openxmlformats.org/officeDocument/2006/relationships" name="Activity" sheetId="5" r:id="Rf4ab805960464616"/>
    <x:sheet xmlns:r="http://schemas.openxmlformats.org/officeDocument/2006/relationships" name="_Lists" sheetId="6" r:id="R76def098d2fc49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334155"/>
      <x:name val="Carlito"/>
    </x:font>
    <x:font>
      <x:b/>
      <x:sz val="11"/>
      <x:color rgb="FF17324D"/>
      <x:name val="Carlito"/>
    </x:font>
    <x:font>
      <x:b/>
      <x:sz val="14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75B5"/>
      </x:patternFill>
    </x:fill>
    <x:fill>
      <x:patternFill patternType="solid">
        <x:fgColor rgb="FF17324D"/>
      </x:patternFill>
    </x:fill>
    <x:fill>
      <x:patternFill patternType="solid">
        <x:fgColor rgb="FFF3F6F9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CE8E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7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ad13d18d174349" /><Relationship Type="http://schemas.openxmlformats.org/officeDocument/2006/relationships/theme" Target="/xl/theme/theme1.xml" Id="R1267d988ac5a49df" /><Relationship Type="http://schemas.openxmlformats.org/officeDocument/2006/relationships/sharedStrings" Target="/xl/sharedStrings.xml" Id="R954481ff50b441d0" /><Relationship Type="http://schemas.openxmlformats.org/officeDocument/2006/relationships/worksheet" Target="/xl/worksheets/sheet1.xml" Id="R15e2017e5a294799" /><Relationship Type="http://schemas.openxmlformats.org/officeDocument/2006/relationships/worksheet" Target="/xl/worksheets/sheet2.xml" Id="Rd24d721a0e134f01" /><Relationship Type="http://schemas.openxmlformats.org/officeDocument/2006/relationships/worksheet" Target="/xl/worksheets/sheet3.xml" Id="Ra4d337f8933047de" /><Relationship Type="http://schemas.openxmlformats.org/officeDocument/2006/relationships/worksheet" Target="/xl/worksheets/sheet4.xml" Id="R0b090e62cddf409d" /><Relationship Type="http://schemas.openxmlformats.org/officeDocument/2006/relationships/worksheet" Target="/xl/worksheets/sheet5.xml" Id="Rf4ab805960464616" /><Relationship Type="http://schemas.openxmlformats.org/officeDocument/2006/relationships/worksheet" Target="/xl/worksheets/sheet6.xml" Id="R76def098d2fc49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6e9a79729814d4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Pipeline by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'Dashboard'!$A$13:$A$21</c:f>
              <c:strCache>
                <c:ptCount val="0"/>
              </c:strCache>
            </c:strRef>
          </c:cat>
          <c:val>
            <c:numRef>
              <c:f>'Dashboard'!$B$13:$B$21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e9a79729814d4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JobsTable" displayName="JobsTable" ref="A1:U51" headerRowCount="1" totalsRowCount="0" totalsRowShown="0">
  <x:tableColumns count="21">
    <x:tableColumn id="1" name="Job ID"/>
    <x:tableColumn id="2" name="Company"/>
    <x:tableColumn id="3" name="Role"/>
    <x:tableColumn id="4" name="Location"/>
    <x:tableColumn id="5" name="Original URL"/>
    <x:tableColumn id="6" name="Verified / Official URL"/>
    <x:tableColumn id="7" name="Source"/>
    <x:tableColumn id="8" name="Discovery Origin"/>
    <x:tableColumn id="9" name="Date Found"/>
    <x:tableColumn id="10" name="Last Verified"/>
    <x:tableColumn id="11" name="Link Status"/>
    <x:tableColumn id="12" name="Fit Score"/>
    <x:tableColumn id="13" name="AI Verdict"/>
    <x:tableColumn id="14" name="Status"/>
    <x:tableColumn id="15" name="Drop Reason"/>
    <x:tableColumn id="16" name="Applied Date"/>
    <x:tableColumn id="17" name="Process Stage"/>
    <x:tableColumn id="18" name="Next Action"/>
    <x:tableColumn id="19" name="Next Action Date"/>
    <x:tableColumn id="20" name="Contact Enrichment"/>
    <x:tableColumn id="2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actsTable" displayName="ContactsTable" ref="A1:O51" headerRowCount="1" totalsRowCount="0" totalsRowShown="0">
  <x:tableColumns count="15">
    <x:tableColumn id="1" name="Job ID"/>
    <x:tableColumn id="2" name="Company"/>
    <x:tableColumn id="3" name="Name"/>
    <x:tableColumn id="4" name="Title"/>
    <x:tableColumn id="5" name="Contact Type"/>
    <x:tableColumn id="6" name="Location"/>
    <x:tableColumn id="7" name="LinkedIn URL"/>
    <x:tableColumn id="8" name="Work Email"/>
    <x:tableColumn id="9" name="Relevance"/>
    <x:tableColumn id="10" name="Confidence"/>
    <x:tableColumn id="11" name="Evidence / Basis"/>
    <x:tableColumn id="12" name="Outreach Status"/>
    <x:tableColumn id="13" name="Last Contacted"/>
    <x:tableColumn id="14" name="Last Verified"/>
    <x:tableColumn id="1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vityTable" displayName="ActivityTable" ref="A1:F151" headerRowCount="1" totalsRowCount="0" totalsRowShown="0">
  <x:tableColumns count="6">
    <x:tableColumn id="1" name="Date"/>
    <x:tableColumn id="2" name="Job ID"/>
    <x:tableColumn id="3" name="Event"/>
    <x:tableColumn id="4" name="Previous Status"/>
    <x:tableColumn id="5" name="New 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ca37c04dae349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24e96cc41254c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58abdf9c5bc4d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58df5c9b8974b1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52" hidden="0" customWidth="1"/>
  </x:cols>
  <x:sheetData>
    <x:row r="1" ht="30" customHeight="1">
      <x:c r="A1" s="14" t="str">
        <x:v>AI Job Search OS — Operational Database</x:v>
      </x:c>
      <x:c r="B1" s="14"/>
      <x:c r="C1" s="14"/>
      <x:c r="D1" s="14"/>
      <x:c r="E1" s="14"/>
      <x:c r="F1" s="14"/>
    </x:row>
    <x:row r="3">
      <x:c r="A3" s="20" t="str">
        <x:v>Daily use happens through conversation. Ask the AI to show your dashboard; you do not need to maintain this workbook manually.</x:v>
      </x:c>
      <x:c r="B3" s="20"/>
      <x:c r="C3" s="20"/>
      <x:c r="D3" s="20"/>
      <x:c r="E3" s="20"/>
      <x:c r="F3" s="20"/>
    </x:row>
    <x:row r="5">
      <x:c r="A5" s="6" t="str">
        <x:v>STAGE</x:v>
      </x:c>
      <x:c r="B5" s="6" t="str">
        <x:v>USER</x:v>
      </x:c>
      <x:c r="C5" s="6" t="str">
        <x:v>AI</x:v>
      </x:c>
    </x:row>
    <x:row r="6">
      <x:c r="A6" s="24" t="str">
        <x:v>1. Onboard</x:v>
      </x:c>
      <x:c r="B6" s="24" t="str">
        <x:v>Explain goals/preferences and approve the profile.</x:v>
      </x:c>
      <x:c r="C6" s="24" t="str">
        <x:v>Generates USER_CONTEXT.md after approval.</x:v>
      </x:c>
    </x:row>
    <x:row r="7">
      <x:c r="A7" s="24" t="str">
        <x:v>2. Discover</x:v>
      </x:c>
      <x:c r="B7" s="24" t="str">
        <x:v>Say: "Find jobs for me."</x:v>
      </x:c>
      <x:c r="C7" s="24" t="str">
        <x:v>Finds and verifies viable opportunities.</x:v>
      </x:c>
    </x:row>
    <x:row r="8">
      <x:c r="A8" s="24" t="str">
        <x:v>3. Paste links</x:v>
      </x:c>
      <x:c r="B8" s="24" t="str">
        <x:v>Send any job URL you find.</x:v>
      </x:c>
      <x:c r="C8" s="24" t="str">
        <x:v>Verifies, reviews, tracks, and enriches contacts.</x:v>
      </x:c>
    </x:row>
    <x:row r="9">
      <x:c r="A9" s="24" t="str">
        <x:v>4. Decide</x:v>
      </x:c>
      <x:c r="B9" s="24" t="str">
        <x:v>Choose APPLY / DROP / HOLD.</x:v>
      </x:c>
      <x:c r="C9" s="24" t="str">
        <x:v>Records current state and useful reasoning.</x:v>
      </x:c>
    </x:row>
    <x:row r="10">
      <x:c r="A10" s="24" t="str">
        <x:v>5. Apply</x:v>
      </x:c>
      <x:c r="B10" s="24" t="str">
        <x:v>Submit on the official employer site.</x:v>
      </x:c>
      <x:c r="C10" s="24" t="str">
        <x:v>Updates tracker after you report the action.</x:v>
      </x:c>
    </x:row>
    <x:row r="11">
      <x:c r="A11" s="24" t="str">
        <x:v>6. Progress</x:v>
      </x:c>
      <x:c r="B11" s="24" t="str">
        <x:v>Report screens/interviews/rejections/offers.</x:v>
      </x:c>
      <x:c r="C11" s="24" t="str">
        <x:v>Updates status + Activity history.</x:v>
      </x:c>
    </x:row>
    <x:row r="12">
      <x:c r="A12" s="24" t="str">
        <x:v>7. Inspect</x:v>
      </x:c>
      <x:c r="B12" s="24" t="str">
        <x:v>Say: "Show my job-search dashboard."</x:v>
      </x:c>
      <x:c r="C12" s="24" t="str">
        <x:v>Displays tracker data directly in chat.</x:v>
      </x:c>
    </x:row>
    <x:row r="14">
      <x:c r="A14" s="27" t="str">
        <x:v>Privacy</x:v>
      </x:c>
      <x:c r="B14" s="27"/>
      <x:c r="C14" s="27"/>
      <x:c r="D14" s="27"/>
      <x:c r="E14" s="27"/>
      <x:c r="F14" s="27"/>
    </x:row>
    <x:row r="15">
      <x:c r="A15" s="30" t="str">
        <x:v>Use a sanitized CV copy. Never store passwords, OTPs, national IDs, passport/tax numbers, bank data, or employer-portal credentials. Enter sensitive application data directly on official employer sites.</x:v>
      </x:c>
      <x:c r="B15" s="30"/>
      <x:c r="C15" s="30"/>
      <x:c r="D15" s="30"/>
      <x:c r="E15" s="30"/>
      <x:c r="F15" s="30"/>
    </x:row>
    <x:row r="16">
      <x:c r="A16" s="30"/>
      <x:c r="B16" s="30"/>
      <x:c r="C16" s="30"/>
      <x:c r="D16" s="30"/>
      <x:c r="E16" s="30"/>
      <x:c r="F16" s="30"/>
    </x:row>
    <x:row r="17">
      <x:c r="A17" s="30"/>
      <x:c r="B17" s="30"/>
      <x:c r="C17" s="30"/>
      <x:c r="D17" s="30"/>
      <x:c r="E17" s="30"/>
      <x:c r="F17" s="30"/>
    </x:row>
    <x:row r="19">
      <x:c r="A19" s="6" t="str">
        <x:v>Sheet</x:v>
      </x:c>
      <x:c r="B19" s="6" t="str">
        <x:v>Purpose</x:v>
      </x:c>
    </x:row>
    <x:row r="20">
      <x:c r="A20" s="24" t="str">
        <x:v>Dashboard</x:v>
      </x:c>
      <x:c r="B20" s="24" t="str">
        <x:v>Pipeline summary</x:v>
      </x:c>
    </x:row>
    <x:row r="21">
      <x:c r="A21" s="24" t="str">
        <x:v>Jobs</x:v>
      </x:c>
      <x:c r="B21" s="24" t="str">
        <x:v>One row per viable opportunity</x:v>
      </x:c>
    </x:row>
    <x:row r="22">
      <x:c r="A22" s="24" t="str">
        <x:v>Contacts</x:v>
      </x:c>
      <x:c r="B22" s="24" t="str">
        <x:v>Recruiters / hiring users</x:v>
      </x:c>
    </x:row>
    <x:row r="23">
      <x:c r="A23" s="24" t="str">
        <x:v>Activity</x:v>
      </x:c>
      <x:c r="B23" s="24" t="str">
        <x:v>Milestone history</x:v>
      </x:c>
    </x:row>
    <x:row r="24">
      <x:c r="A24" s="24" t="str">
        <x:v>_Lists</x:v>
      </x:c>
      <x:c r="B24" s="24" t="str">
        <x:v>Dropdown helper; ignore</x:v>
      </x:c>
    </x:row>
  </x:sheetData>
  <x:mergeCells>
    <x:mergeCell ref="A1:F1"/>
    <x:mergeCell ref="A3:F3"/>
    <x:mergeCell ref="A14:F14"/>
    <x:mergeCell ref="A15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34" hidden="0" customWidth="1"/>
    <x:col min="4" max="4" width="24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0" customHeight="1">
      <x:c r="A1" s="14" t="str">
        <x:v>Job Search Dashboard</x:v>
      </x:c>
      <x:c r="B1" s="14"/>
      <x:c r="C1" s="14"/>
      <x:c r="D1" s="14"/>
      <x:c r="E1" s="14"/>
      <x:c r="F1" s="14"/>
      <x:c r="G1" s="14"/>
      <x:c r="H1" s="14"/>
    </x:row>
    <x:row r="3">
      <x:c r="A3" s="27" t="str">
        <x:v>Opportunities</x:v>
      </x:c>
      <x:c r="B3" s="27" t="str">
        <x:v>Applications</x:v>
      </x:c>
      <x:c r="C3" s="27" t="str">
        <x:v>Recruiter Screens</x:v>
      </x:c>
      <x:c r="D3" s="27" t="str">
        <x:v>Interviews</x:v>
      </x:c>
      <x:c r="E3" s="27" t="str">
        <x:v>Offers</x:v>
      </x:c>
      <x:c r="F3" s="27" t="str">
        <x:v>Rejected</x:v>
      </x:c>
      <x:c r="G3" s="27" t="str">
        <x:v>Dropped</x:v>
      </x:c>
      <x:c r="H3" s="27" t="str">
        <x:v>Under Review</x:v>
      </x:c>
    </x:row>
    <x:row r="4">
      <x:c r="A4" s="37" t="n">
        <x:f>COUNTA(Jobs!$A$2:$A$51)</x:f>
        <x:v>0</x:v>
      </x:c>
      <x:c r="B4" s="37" t="n">
        <x:f>COUNTIF(Jobs!$P$2:$P$51,"&lt;&gt;")</x:f>
        <x:v>0</x:v>
      </x:c>
      <x:c r="C4" s="37" t="n">
        <x:f>COUNTIF(Activity!$C$2:$C$151,"Recruiter Screen")</x:f>
        <x:v>0</x:v>
      </x:c>
      <x:c r="D4" s="37" t="n">
        <x:f>COUNTIF(Activity!$C$2:$C$151,"Interview")</x:f>
        <x:v>0</x:v>
      </x:c>
      <x:c r="E4" s="37" t="n">
        <x:f>COUNTIF(Jobs!$N$2:$N$51,"Offer")</x:f>
        <x:v>0</x:v>
      </x:c>
      <x:c r="F4" s="37" t="n">
        <x:f>COUNTIF(Jobs!$N$2:$N$51,"Rejected")</x:f>
        <x:v>0</x:v>
      </x:c>
      <x:c r="G4" s="37" t="n">
        <x:f>COUNTIF(Jobs!$N$2:$N$51,"Dropped")</x:f>
        <x:v>0</x:v>
      </x:c>
      <x:c r="H4" s="37" t="n">
        <x:f>COUNTIF(Jobs!$N$2:$N$51,"Discovered")+COUNTIF(Jobs!$N$2:$N$51,"Review")</x:f>
        <x:v>0</x:v>
      </x:c>
    </x:row>
    <x:row r="6">
      <x:c r="A6" s="6" t="str">
        <x:v>Conversion</x:v>
      </x:c>
      <x:c r="B6" s="6" t="str">
        <x:v>Value</x:v>
      </x:c>
      <x:c r="C6" s="6" t="str">
        <x:v>Interpretation</x:v>
      </x:c>
    </x:row>
    <x:row r="7">
      <x:c r="A7" t="str">
        <x:v>Application Rate</x:v>
      </x:c>
      <x:c r="B7" s="40" t="n">
        <x:f>IFERROR(B4/A4,0)</x:f>
        <x:v>0</x:v>
      </x:c>
      <x:c r="C7" s="24" t="str">
        <x:v>Applications / viable opportunities</x:v>
      </x:c>
    </x:row>
    <x:row r="8">
      <x:c r="A8" t="str">
        <x:v>Recruiter Screen Rate</x:v>
      </x:c>
      <x:c r="B8" s="40" t="n">
        <x:f>IFERROR(C4/B4,0)</x:f>
        <x:v>0</x:v>
      </x:c>
      <x:c r="C8" s="24" t="str">
        <x:v>Recruiter-screen milestones / applications</x:v>
      </x:c>
    </x:row>
    <x:row r="9">
      <x:c r="A9" t="str">
        <x:v>Interview Rate</x:v>
      </x:c>
      <x:c r="B9" s="40" t="n">
        <x:f>IFERROR(D4/B4,0)</x:f>
        <x:v>0</x:v>
      </x:c>
      <x:c r="C9" s="24" t="str">
        <x:v>Interview milestones / applications</x:v>
      </x:c>
    </x:row>
    <x:row r="12">
      <x:c r="A12" s="6" t="str">
        <x:v>Current Status</x:v>
      </x:c>
      <x:c r="B12" s="6" t="str">
        <x:v>Count</x:v>
      </x:c>
      <x:c r="D12" s="6" t="str">
        <x:v>Drop Reason</x:v>
      </x:c>
      <x:c r="E12" s="6" t="str">
        <x:v>Count</x:v>
      </x:c>
    </x:row>
    <x:row r="13">
      <x:c r="A13" t="str">
        <x:v>Discovered</x:v>
      </x:c>
      <x:c r="B13" t="n">
        <x:f>COUNTIF(Jobs!$N$2:$N$51,A13)</x:f>
        <x:v>0</x:v>
      </x:c>
      <x:c r="D13" t="str">
        <x:v>Poor role fit</x:v>
      </x:c>
      <x:c r="E13" t="n">
        <x:f>COUNTIF(Jobs!$O$2:$O$51,D13)</x:f>
        <x:v>0</x:v>
      </x:c>
    </x:row>
    <x:row r="14">
      <x:c r="A14" t="str">
        <x:v>Review</x:v>
      </x:c>
      <x:c r="B14" t="n">
        <x:f>COUNTIF(Jobs!$N$2:$N$51,A14)</x:f>
        <x:v>0</x:v>
      </x:c>
      <x:c r="D14" t="str">
        <x:v>Sales-heavy</x:v>
      </x:c>
      <x:c r="E14" t="n">
        <x:f>COUNTIF(Jobs!$O$2:$O$51,D14)</x:f>
        <x:v>0</x:v>
      </x:c>
    </x:row>
    <x:row r="15">
      <x:c r="A15" t="str">
        <x:v>Applied</x:v>
      </x:c>
      <x:c r="B15" t="n">
        <x:f>COUNTIF(Jobs!$N$2:$N$51,A15)</x:f>
        <x:v>0</x:v>
      </x:c>
      <x:c r="D15" t="str">
        <x:v>Too technical</x:v>
      </x:c>
      <x:c r="E15" t="n">
        <x:f>COUNTIF(Jobs!$O$2:$O$51,D15)</x:f>
        <x:v>0</x:v>
      </x:c>
    </x:row>
    <x:row r="16">
      <x:c r="A16" t="str">
        <x:v>Recruiter Screen</x:v>
      </x:c>
      <x:c r="B16" t="n">
        <x:f>COUNTIF(Jobs!$N$2:$N$51,A16)</x:f>
        <x:v>0</x:v>
      </x:c>
      <x:c r="D16" t="str">
        <x:v>Finance/domain mismatch</x:v>
      </x:c>
      <x:c r="E16" t="n">
        <x:f>COUNTIF(Jobs!$O$2:$O$51,D16)</x:f>
        <x:v>0</x:v>
      </x:c>
    </x:row>
    <x:row r="17">
      <x:c r="A17" t="str">
        <x:v>Interview</x:v>
      </x:c>
      <x:c r="B17" t="n">
        <x:f>COUNTIF(Jobs!$N$2:$N$51,A17)</x:f>
        <x:v>0</x:v>
      </x:c>
      <x:c r="D17" t="str">
        <x:v>Sector/product</x:v>
      </x:c>
      <x:c r="E17" t="n">
        <x:f>COUNTIF(Jobs!$O$2:$O$51,D17)</x:f>
        <x:v>0</x:v>
      </x:c>
    </x:row>
    <x:row r="18">
      <x:c r="A18" t="str">
        <x:v>Offer</x:v>
      </x:c>
      <x:c r="B18" t="n">
        <x:f>COUNTIF(Jobs!$N$2:$N$51,A18)</x:f>
        <x:v>0</x:v>
      </x:c>
      <x:c r="D18" t="str">
        <x:v>Company quality</x:v>
      </x:c>
      <x:c r="E18" t="n">
        <x:f>COUNTIF(Jobs!$O$2:$O$51,D18)</x:f>
        <x:v>0</x:v>
      </x:c>
    </x:row>
    <x:row r="19">
      <x:c r="A19" t="str">
        <x:v>Rejected</x:v>
      </x:c>
      <x:c r="B19" t="n">
        <x:f>COUNTIF(Jobs!$N$2:$N$51,A19)</x:f>
        <x:v>0</x:v>
      </x:c>
      <x:c r="D19" t="str">
        <x:v>Politics/policy</x:v>
      </x:c>
      <x:c r="E19" t="n">
        <x:f>COUNTIF(Jobs!$O$2:$O$51,D19)</x:f>
        <x:v>0</x:v>
      </x:c>
    </x:row>
    <x:row r="20">
      <x:c r="A20" t="str">
        <x:v>Dropped</x:v>
      </x:c>
      <x:c r="B20" t="n">
        <x:f>COUNTIF(Jobs!$N$2:$N$51,A20)</x:f>
        <x:v>0</x:v>
      </x:c>
      <x:c r="D20" t="str">
        <x:v>Location/commute</x:v>
      </x:c>
      <x:c r="E20" t="n">
        <x:f>COUNTIF(Jobs!$O$2:$O$51,D20)</x:f>
        <x:v>0</x:v>
      </x:c>
    </x:row>
    <x:row r="21">
      <x:c r="A21" t="str">
        <x:v>Closed</x:v>
      </x:c>
      <x:c r="B21" t="n">
        <x:f>COUNTIF(Jobs!$N$2:$N$51,A21)</x:f>
        <x:v>0</x:v>
      </x:c>
      <x:c r="D21" t="str">
        <x:v>Seniority mismatch</x:v>
      </x:c>
      <x:c r="E21" t="n">
        <x:f>COUNTIF(Jobs!$O$2:$O$51,D21)</x:f>
        <x:v>0</x:v>
      </x:c>
    </x:row>
    <x:row r="22">
      <x:c r="D22" t="str">
        <x:v>Compensation</x:v>
      </x:c>
      <x:c r="E22" t="n">
        <x:f>COUNTIF(Jobs!$O$2:$O$51,D22)</x:f>
        <x:v>0</x:v>
      </x:c>
    </x:row>
    <x:row r="24">
      <x:c r="A24" s="20" t="str">
        <x:v>Interpret conversion rates cautiously when the sample is small. AI should explain uncertainty rather than manufacture conclusions.</x:v>
      </x:c>
      <x:c r="B24" s="20"/>
      <x:c r="C24" s="20"/>
      <x:c r="D24" s="20"/>
      <x:c r="E24" s="20"/>
      <x:c r="F24" s="20"/>
      <x:c r="G24" s="20"/>
      <x:c r="H24" s="20"/>
    </x:row>
  </x:sheetData>
  <x:mergeCells>
    <x:mergeCell ref="A1:H1"/>
    <x:mergeCell ref="A24:H24"/>
  </x:mergeCells>
  <x:pageMargins left="0.7" right="0.7" top="0.75" bottom="0.75" header="0.3" footer="0.3"/>
  <x:drawing xmlns:r="http://schemas.openxmlformats.org/officeDocument/2006/relationships" r:id="R5ca37c04dae34968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0" hidden="0" customWidth="1"/>
    <x:col min="4" max="4" width="18" hidden="0" customWidth="1"/>
    <x:col min="5" max="5" width="34" hidden="0" customWidth="1"/>
    <x:col min="6" max="6" width="34" hidden="0" customWidth="1"/>
    <x:col min="7" max="7" width="18" hidden="0" customWidth="1"/>
    <x:col min="8" max="8" width="15" hidden="0" customWidth="1"/>
    <x:col min="9" max="9" width="13" hidden="0" customWidth="1"/>
    <x:col min="10" max="10" width="13" hidden="0" customWidth="1"/>
    <x:col min="11" max="11" width="14" hidden="0" customWidth="1"/>
    <x:col min="12" max="12" width="10" hidden="0" customWidth="1"/>
    <x:col min="13" max="13" width="16" hidden="0" customWidth="1"/>
    <x:col min="14" max="14" width="18" hidden="0" customWidth="1"/>
    <x:col min="15" max="15" width="22" hidden="0" customWidth="1"/>
    <x:col min="16" max="16" width="13" hidden="0" customWidth="1"/>
    <x:col min="17" max="17" width="18" hidden="0" customWidth="1"/>
    <x:col min="18" max="18" width="26" hidden="0" customWidth="1"/>
    <x:col min="19" max="19" width="15" hidden="0" customWidth="1"/>
    <x:col min="20" max="20" width="18" hidden="0" customWidth="1"/>
    <x:col min="21" max="21" width="34" hidden="0" customWidth="1"/>
  </x:cols>
  <x:sheetData>
    <x:row r="1">
      <x:c r="A1" s="6" t="str">
        <x:v>Job ID</x:v>
      </x:c>
      <x:c r="B1" s="6" t="str">
        <x:v>Company</x:v>
      </x:c>
      <x:c r="C1" s="6" t="str">
        <x:v>Role</x:v>
      </x:c>
      <x:c r="D1" s="6" t="str">
        <x:v>Location</x:v>
      </x:c>
      <x:c r="E1" s="6" t="str">
        <x:v>Original URL</x:v>
      </x:c>
      <x:c r="F1" s="6" t="str">
        <x:v>Verified / Official URL</x:v>
      </x:c>
      <x:c r="G1" s="6" t="str">
        <x:v>Source</x:v>
      </x:c>
      <x:c r="H1" s="6" t="str">
        <x:v>Discovery Origin</x:v>
      </x:c>
      <x:c r="I1" s="6" t="str">
        <x:v>Date Found</x:v>
      </x:c>
      <x:c r="J1" s="6" t="str">
        <x:v>Last Verified</x:v>
      </x:c>
      <x:c r="K1" s="6" t="str">
        <x:v>Link Status</x:v>
      </x:c>
      <x:c r="L1" s="6" t="str">
        <x:v>Fit Score</x:v>
      </x:c>
      <x:c r="M1" s="6" t="str">
        <x:v>AI Verdict</x:v>
      </x:c>
      <x:c r="N1" s="6" t="str">
        <x:v>Status</x:v>
      </x:c>
      <x:c r="O1" s="6" t="str">
        <x:v>Drop Reason</x:v>
      </x:c>
      <x:c r="P1" s="6" t="str">
        <x:v>Applied Date</x:v>
      </x:c>
      <x:c r="Q1" s="6" t="str">
        <x:v>Process Stage</x:v>
      </x:c>
      <x:c r="R1" s="6" t="str">
        <x:v>Next Action</x:v>
      </x:c>
      <x:c r="S1" s="6" t="str">
        <x:v>Next Action Date</x:v>
      </x:c>
      <x:c r="T1" s="6" t="str">
        <x:v>Contact Enrichment</x:v>
      </x:c>
      <x:c r="U1" s="6" t="str">
        <x:v>Notes</x:v>
      </x:c>
    </x:row>
    <x:row r="2">
      <x:c r="A2" s="24"/>
      <x:c r="B2" s="24"/>
      <x:c r="C2" s="24"/>
      <x:c r="D2" s="24"/>
      <x:c r="E2" s="24"/>
      <x:c r="F2" s="24"/>
      <x:c r="G2" s="24"/>
      <x:c r="H2" s="24"/>
      <x:c r="I2" s="32"/>
      <x:c r="J2" s="32"/>
      <x:c r="K2" s="24"/>
      <x:c r="L2" s="34"/>
      <x:c r="M2" s="24"/>
      <x:c r="N2" s="24"/>
      <x:c r="O2" s="24"/>
      <x:c r="P2" s="32"/>
      <x:c r="Q2" s="24"/>
      <x:c r="R2" s="24"/>
      <x:c r="S2" s="32"/>
      <x:c r="T2" s="24"/>
      <x:c r="U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32"/>
      <x:c r="J3" s="32"/>
      <x:c r="K3" s="24"/>
      <x:c r="L3" s="34"/>
      <x:c r="M3" s="24"/>
      <x:c r="N3" s="24"/>
      <x:c r="O3" s="24"/>
      <x:c r="P3" s="32"/>
      <x:c r="Q3" s="24"/>
      <x:c r="R3" s="24"/>
      <x:c r="S3" s="32"/>
      <x:c r="T3" s="24"/>
      <x:c r="U3" s="24"/>
    </x:row>
    <x:row r="4">
      <x:c r="A4" s="24"/>
      <x:c r="B4" s="24"/>
      <x:c r="C4" s="24"/>
      <x:c r="D4" s="24"/>
      <x:c r="E4" s="24"/>
      <x:c r="F4" s="24"/>
      <x:c r="G4" s="24"/>
      <x:c r="H4" s="24"/>
      <x:c r="I4" s="32"/>
      <x:c r="J4" s="32"/>
      <x:c r="K4" s="24"/>
      <x:c r="L4" s="34"/>
      <x:c r="M4" s="24"/>
      <x:c r="N4" s="24"/>
      <x:c r="O4" s="24"/>
      <x:c r="P4" s="32"/>
      <x:c r="Q4" s="24"/>
      <x:c r="R4" s="24"/>
      <x:c r="S4" s="32"/>
      <x:c r="T4" s="24"/>
      <x:c r="U4" s="24"/>
    </x:row>
    <x:row r="5">
      <x:c r="A5" s="24"/>
      <x:c r="B5" s="24"/>
      <x:c r="C5" s="24"/>
      <x:c r="D5" s="24"/>
      <x:c r="E5" s="24"/>
      <x:c r="F5" s="24"/>
      <x:c r="G5" s="24"/>
      <x:c r="H5" s="24"/>
      <x:c r="I5" s="32"/>
      <x:c r="J5" s="32"/>
      <x:c r="K5" s="24"/>
      <x:c r="L5" s="34"/>
      <x:c r="M5" s="24"/>
      <x:c r="N5" s="24"/>
      <x:c r="O5" s="24"/>
      <x:c r="P5" s="32"/>
      <x:c r="Q5" s="24"/>
      <x:c r="R5" s="24"/>
      <x:c r="S5" s="32"/>
      <x:c r="T5" s="24"/>
      <x:c r="U5" s="24"/>
    </x:row>
    <x:row r="6">
      <x:c r="A6" s="24"/>
      <x:c r="B6" s="24"/>
      <x:c r="C6" s="24"/>
      <x:c r="D6" s="24"/>
      <x:c r="E6" s="24"/>
      <x:c r="F6" s="24"/>
      <x:c r="G6" s="24"/>
      <x:c r="H6" s="24"/>
      <x:c r="I6" s="32"/>
      <x:c r="J6" s="32"/>
      <x:c r="K6" s="24"/>
      <x:c r="L6" s="34"/>
      <x:c r="M6" s="24"/>
      <x:c r="N6" s="24"/>
      <x:c r="O6" s="24"/>
      <x:c r="P6" s="32"/>
      <x:c r="Q6" s="24"/>
      <x:c r="R6" s="24"/>
      <x:c r="S6" s="32"/>
      <x:c r="T6" s="24"/>
      <x:c r="U6" s="24"/>
    </x:row>
    <x:row r="7">
      <x:c r="A7" s="24"/>
      <x:c r="B7" s="24"/>
      <x:c r="C7" s="24"/>
      <x:c r="D7" s="24"/>
      <x:c r="E7" s="24"/>
      <x:c r="F7" s="24"/>
      <x:c r="G7" s="24"/>
      <x:c r="H7" s="24"/>
      <x:c r="I7" s="32"/>
      <x:c r="J7" s="32"/>
      <x:c r="K7" s="24"/>
      <x:c r="L7" s="34"/>
      <x:c r="M7" s="24"/>
      <x:c r="N7" s="24"/>
      <x:c r="O7" s="24"/>
      <x:c r="P7" s="32"/>
      <x:c r="Q7" s="24"/>
      <x:c r="R7" s="24"/>
      <x:c r="S7" s="32"/>
      <x:c r="T7" s="24"/>
      <x:c r="U7" s="24"/>
    </x:row>
    <x:row r="8">
      <x:c r="A8" s="24"/>
      <x:c r="B8" s="24"/>
      <x:c r="C8" s="24"/>
      <x:c r="D8" s="24"/>
      <x:c r="E8" s="24"/>
      <x:c r="F8" s="24"/>
      <x:c r="G8" s="24"/>
      <x:c r="H8" s="24"/>
      <x:c r="I8" s="32"/>
      <x:c r="J8" s="32"/>
      <x:c r="K8" s="24"/>
      <x:c r="L8" s="34"/>
      <x:c r="M8" s="24"/>
      <x:c r="N8" s="24"/>
      <x:c r="O8" s="24"/>
      <x:c r="P8" s="32"/>
      <x:c r="Q8" s="24"/>
      <x:c r="R8" s="24"/>
      <x:c r="S8" s="32"/>
      <x:c r="T8" s="24"/>
      <x:c r="U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32"/>
      <x:c r="J9" s="32"/>
      <x:c r="K9" s="24"/>
      <x:c r="L9" s="34"/>
      <x:c r="M9" s="24"/>
      <x:c r="N9" s="24"/>
      <x:c r="O9" s="24"/>
      <x:c r="P9" s="32"/>
      <x:c r="Q9" s="24"/>
      <x:c r="R9" s="24"/>
      <x:c r="S9" s="32"/>
      <x:c r="T9" s="24"/>
      <x:c r="U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32"/>
      <x:c r="J10" s="32"/>
      <x:c r="K10" s="24"/>
      <x:c r="L10" s="34"/>
      <x:c r="M10" s="24"/>
      <x:c r="N10" s="24"/>
      <x:c r="O10" s="24"/>
      <x:c r="P10" s="32"/>
      <x:c r="Q10" s="24"/>
      <x:c r="R10" s="24"/>
      <x:c r="S10" s="32"/>
      <x:c r="T10" s="24"/>
      <x:c r="U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32"/>
      <x:c r="J11" s="32"/>
      <x:c r="K11" s="24"/>
      <x:c r="L11" s="34"/>
      <x:c r="M11" s="24"/>
      <x:c r="N11" s="24"/>
      <x:c r="O11" s="24"/>
      <x:c r="P11" s="32"/>
      <x:c r="Q11" s="24"/>
      <x:c r="R11" s="24"/>
      <x:c r="S11" s="32"/>
      <x:c r="T11" s="24"/>
      <x:c r="U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32"/>
      <x:c r="J12" s="32"/>
      <x:c r="K12" s="24"/>
      <x:c r="L12" s="34"/>
      <x:c r="M12" s="24"/>
      <x:c r="N12" s="24"/>
      <x:c r="O12" s="24"/>
      <x:c r="P12" s="32"/>
      <x:c r="Q12" s="24"/>
      <x:c r="R12" s="24"/>
      <x:c r="S12" s="32"/>
      <x:c r="T12" s="24"/>
      <x:c r="U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32"/>
      <x:c r="J13" s="32"/>
      <x:c r="K13" s="24"/>
      <x:c r="L13" s="34"/>
      <x:c r="M13" s="24"/>
      <x:c r="N13" s="24"/>
      <x:c r="O13" s="24"/>
      <x:c r="P13" s="32"/>
      <x:c r="Q13" s="24"/>
      <x:c r="R13" s="24"/>
      <x:c r="S13" s="32"/>
      <x:c r="T13" s="24"/>
      <x:c r="U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32"/>
      <x:c r="J14" s="32"/>
      <x:c r="K14" s="24"/>
      <x:c r="L14" s="34"/>
      <x:c r="M14" s="24"/>
      <x:c r="N14" s="24"/>
      <x:c r="O14" s="24"/>
      <x:c r="P14" s="32"/>
      <x:c r="Q14" s="24"/>
      <x:c r="R14" s="24"/>
      <x:c r="S14" s="32"/>
      <x:c r="T14" s="24"/>
      <x:c r="U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32"/>
      <x:c r="J15" s="32"/>
      <x:c r="K15" s="24"/>
      <x:c r="L15" s="34"/>
      <x:c r="M15" s="24"/>
      <x:c r="N15" s="24"/>
      <x:c r="O15" s="24"/>
      <x:c r="P15" s="32"/>
      <x:c r="Q15" s="24"/>
      <x:c r="R15" s="24"/>
      <x:c r="S15" s="32"/>
      <x:c r="T15" s="24"/>
      <x:c r="U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32"/>
      <x:c r="J16" s="32"/>
      <x:c r="K16" s="24"/>
      <x:c r="L16" s="34"/>
      <x:c r="M16" s="24"/>
      <x:c r="N16" s="24"/>
      <x:c r="O16" s="24"/>
      <x:c r="P16" s="32"/>
      <x:c r="Q16" s="24"/>
      <x:c r="R16" s="24"/>
      <x:c r="S16" s="32"/>
      <x:c r="T16" s="24"/>
      <x:c r="U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32"/>
      <x:c r="J17" s="32"/>
      <x:c r="K17" s="24"/>
      <x:c r="L17" s="34"/>
      <x:c r="M17" s="24"/>
      <x:c r="N17" s="24"/>
      <x:c r="O17" s="24"/>
      <x:c r="P17" s="32"/>
      <x:c r="Q17" s="24"/>
      <x:c r="R17" s="24"/>
      <x:c r="S17" s="32"/>
      <x:c r="T17" s="24"/>
      <x:c r="U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32"/>
      <x:c r="J18" s="32"/>
      <x:c r="K18" s="24"/>
      <x:c r="L18" s="34"/>
      <x:c r="M18" s="24"/>
      <x:c r="N18" s="24"/>
      <x:c r="O18" s="24"/>
      <x:c r="P18" s="32"/>
      <x:c r="Q18" s="24"/>
      <x:c r="R18" s="24"/>
      <x:c r="S18" s="32"/>
      <x:c r="T18" s="24"/>
      <x:c r="U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32"/>
      <x:c r="J19" s="32"/>
      <x:c r="K19" s="24"/>
      <x:c r="L19" s="34"/>
      <x:c r="M19" s="24"/>
      <x:c r="N19" s="24"/>
      <x:c r="O19" s="24"/>
      <x:c r="P19" s="32"/>
      <x:c r="Q19" s="24"/>
      <x:c r="R19" s="24"/>
      <x:c r="S19" s="32"/>
      <x:c r="T19" s="24"/>
      <x:c r="U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32"/>
      <x:c r="J20" s="32"/>
      <x:c r="K20" s="24"/>
      <x:c r="L20" s="34"/>
      <x:c r="M20" s="24"/>
      <x:c r="N20" s="24"/>
      <x:c r="O20" s="24"/>
      <x:c r="P20" s="32"/>
      <x:c r="Q20" s="24"/>
      <x:c r="R20" s="24"/>
      <x:c r="S20" s="32"/>
      <x:c r="T20" s="24"/>
      <x:c r="U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32"/>
      <x:c r="J21" s="32"/>
      <x:c r="K21" s="24"/>
      <x:c r="L21" s="34"/>
      <x:c r="M21" s="24"/>
      <x:c r="N21" s="24"/>
      <x:c r="O21" s="24"/>
      <x:c r="P21" s="32"/>
      <x:c r="Q21" s="24"/>
      <x:c r="R21" s="24"/>
      <x:c r="S21" s="32"/>
      <x:c r="T21" s="24"/>
      <x:c r="U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32"/>
      <x:c r="J22" s="32"/>
      <x:c r="K22" s="24"/>
      <x:c r="L22" s="34"/>
      <x:c r="M22" s="24"/>
      <x:c r="N22" s="24"/>
      <x:c r="O22" s="24"/>
      <x:c r="P22" s="32"/>
      <x:c r="Q22" s="24"/>
      <x:c r="R22" s="24"/>
      <x:c r="S22" s="32"/>
      <x:c r="T22" s="24"/>
      <x:c r="U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32"/>
      <x:c r="J23" s="32"/>
      <x:c r="K23" s="24"/>
      <x:c r="L23" s="34"/>
      <x:c r="M23" s="24"/>
      <x:c r="N23" s="24"/>
      <x:c r="O23" s="24"/>
      <x:c r="P23" s="32"/>
      <x:c r="Q23" s="24"/>
      <x:c r="R23" s="24"/>
      <x:c r="S23" s="32"/>
      <x:c r="T23" s="24"/>
      <x:c r="U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32"/>
      <x:c r="J24" s="32"/>
      <x:c r="K24" s="24"/>
      <x:c r="L24" s="34"/>
      <x:c r="M24" s="24"/>
      <x:c r="N24" s="24"/>
      <x:c r="O24" s="24"/>
      <x:c r="P24" s="32"/>
      <x:c r="Q24" s="24"/>
      <x:c r="R24" s="24"/>
      <x:c r="S24" s="32"/>
      <x:c r="T24" s="24"/>
      <x:c r="U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32"/>
      <x:c r="J25" s="32"/>
      <x:c r="K25" s="24"/>
      <x:c r="L25" s="34"/>
      <x:c r="M25" s="24"/>
      <x:c r="N25" s="24"/>
      <x:c r="O25" s="24"/>
      <x:c r="P25" s="32"/>
      <x:c r="Q25" s="24"/>
      <x:c r="R25" s="24"/>
      <x:c r="S25" s="32"/>
      <x:c r="T25" s="24"/>
      <x:c r="U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32"/>
      <x:c r="J26" s="32"/>
      <x:c r="K26" s="24"/>
      <x:c r="L26" s="34"/>
      <x:c r="M26" s="24"/>
      <x:c r="N26" s="24"/>
      <x:c r="O26" s="24"/>
      <x:c r="P26" s="32"/>
      <x:c r="Q26" s="24"/>
      <x:c r="R26" s="24"/>
      <x:c r="S26" s="32"/>
      <x:c r="T26" s="24"/>
      <x:c r="U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32"/>
      <x:c r="J27" s="32"/>
      <x:c r="K27" s="24"/>
      <x:c r="L27" s="34"/>
      <x:c r="M27" s="24"/>
      <x:c r="N27" s="24"/>
      <x:c r="O27" s="24"/>
      <x:c r="P27" s="32"/>
      <x:c r="Q27" s="24"/>
      <x:c r="R27" s="24"/>
      <x:c r="S27" s="32"/>
      <x:c r="T27" s="24"/>
      <x:c r="U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32"/>
      <x:c r="J28" s="32"/>
      <x:c r="K28" s="24"/>
      <x:c r="L28" s="34"/>
      <x:c r="M28" s="24"/>
      <x:c r="N28" s="24"/>
      <x:c r="O28" s="24"/>
      <x:c r="P28" s="32"/>
      <x:c r="Q28" s="24"/>
      <x:c r="R28" s="24"/>
      <x:c r="S28" s="32"/>
      <x:c r="T28" s="24"/>
      <x:c r="U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32"/>
      <x:c r="J29" s="32"/>
      <x:c r="K29" s="24"/>
      <x:c r="L29" s="34"/>
      <x:c r="M29" s="24"/>
      <x:c r="N29" s="24"/>
      <x:c r="O29" s="24"/>
      <x:c r="P29" s="32"/>
      <x:c r="Q29" s="24"/>
      <x:c r="R29" s="24"/>
      <x:c r="S29" s="32"/>
      <x:c r="T29" s="24"/>
      <x:c r="U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32"/>
      <x:c r="J30" s="32"/>
      <x:c r="K30" s="24"/>
      <x:c r="L30" s="34"/>
      <x:c r="M30" s="24"/>
      <x:c r="N30" s="24"/>
      <x:c r="O30" s="24"/>
      <x:c r="P30" s="32"/>
      <x:c r="Q30" s="24"/>
      <x:c r="R30" s="24"/>
      <x:c r="S30" s="32"/>
      <x:c r="T30" s="24"/>
      <x:c r="U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32"/>
      <x:c r="J31" s="32"/>
      <x:c r="K31" s="24"/>
      <x:c r="L31" s="34"/>
      <x:c r="M31" s="24"/>
      <x:c r="N31" s="24"/>
      <x:c r="O31" s="24"/>
      <x:c r="P31" s="32"/>
      <x:c r="Q31" s="24"/>
      <x:c r="R31" s="24"/>
      <x:c r="S31" s="32"/>
      <x:c r="T31" s="24"/>
      <x:c r="U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32"/>
      <x:c r="J32" s="32"/>
      <x:c r="K32" s="24"/>
      <x:c r="L32" s="34"/>
      <x:c r="M32" s="24"/>
      <x:c r="N32" s="24"/>
      <x:c r="O32" s="24"/>
      <x:c r="P32" s="32"/>
      <x:c r="Q32" s="24"/>
      <x:c r="R32" s="24"/>
      <x:c r="S32" s="32"/>
      <x:c r="T32" s="24"/>
      <x:c r="U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32"/>
      <x:c r="J33" s="32"/>
      <x:c r="K33" s="24"/>
      <x:c r="L33" s="34"/>
      <x:c r="M33" s="24"/>
      <x:c r="N33" s="24"/>
      <x:c r="O33" s="24"/>
      <x:c r="P33" s="32"/>
      <x:c r="Q33" s="24"/>
      <x:c r="R33" s="24"/>
      <x:c r="S33" s="32"/>
      <x:c r="T33" s="24"/>
      <x:c r="U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32"/>
      <x:c r="J34" s="32"/>
      <x:c r="K34" s="24"/>
      <x:c r="L34" s="34"/>
      <x:c r="M34" s="24"/>
      <x:c r="N34" s="24"/>
      <x:c r="O34" s="24"/>
      <x:c r="P34" s="32"/>
      <x:c r="Q34" s="24"/>
      <x:c r="R34" s="24"/>
      <x:c r="S34" s="32"/>
      <x:c r="T34" s="24"/>
      <x:c r="U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32"/>
      <x:c r="J35" s="32"/>
      <x:c r="K35" s="24"/>
      <x:c r="L35" s="34"/>
      <x:c r="M35" s="24"/>
      <x:c r="N35" s="24"/>
      <x:c r="O35" s="24"/>
      <x:c r="P35" s="32"/>
      <x:c r="Q35" s="24"/>
      <x:c r="R35" s="24"/>
      <x:c r="S35" s="32"/>
      <x:c r="T35" s="24"/>
      <x:c r="U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32"/>
      <x:c r="J36" s="32"/>
      <x:c r="K36" s="24"/>
      <x:c r="L36" s="34"/>
      <x:c r="M36" s="24"/>
      <x:c r="N36" s="24"/>
      <x:c r="O36" s="24"/>
      <x:c r="P36" s="32"/>
      <x:c r="Q36" s="24"/>
      <x:c r="R36" s="24"/>
      <x:c r="S36" s="32"/>
      <x:c r="T36" s="24"/>
      <x:c r="U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32"/>
      <x:c r="J37" s="32"/>
      <x:c r="K37" s="24"/>
      <x:c r="L37" s="34"/>
      <x:c r="M37" s="24"/>
      <x:c r="N37" s="24"/>
      <x:c r="O37" s="24"/>
      <x:c r="P37" s="32"/>
      <x:c r="Q37" s="24"/>
      <x:c r="R37" s="24"/>
      <x:c r="S37" s="32"/>
      <x:c r="T37" s="24"/>
      <x:c r="U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32"/>
      <x:c r="J38" s="32"/>
      <x:c r="K38" s="24"/>
      <x:c r="L38" s="34"/>
      <x:c r="M38" s="24"/>
      <x:c r="N38" s="24"/>
      <x:c r="O38" s="24"/>
      <x:c r="P38" s="32"/>
      <x:c r="Q38" s="24"/>
      <x:c r="R38" s="24"/>
      <x:c r="S38" s="32"/>
      <x:c r="T38" s="24"/>
      <x:c r="U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32"/>
      <x:c r="J39" s="32"/>
      <x:c r="K39" s="24"/>
      <x:c r="L39" s="34"/>
      <x:c r="M39" s="24"/>
      <x:c r="N39" s="24"/>
      <x:c r="O39" s="24"/>
      <x:c r="P39" s="32"/>
      <x:c r="Q39" s="24"/>
      <x:c r="R39" s="24"/>
      <x:c r="S39" s="32"/>
      <x:c r="T39" s="24"/>
      <x:c r="U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32"/>
      <x:c r="J40" s="32"/>
      <x:c r="K40" s="24"/>
      <x:c r="L40" s="34"/>
      <x:c r="M40" s="24"/>
      <x:c r="N40" s="24"/>
      <x:c r="O40" s="24"/>
      <x:c r="P40" s="32"/>
      <x:c r="Q40" s="24"/>
      <x:c r="R40" s="24"/>
      <x:c r="S40" s="32"/>
      <x:c r="T40" s="24"/>
      <x:c r="U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32"/>
      <x:c r="J41" s="32"/>
      <x:c r="K41" s="24"/>
      <x:c r="L41" s="34"/>
      <x:c r="M41" s="24"/>
      <x:c r="N41" s="24"/>
      <x:c r="O41" s="24"/>
      <x:c r="P41" s="32"/>
      <x:c r="Q41" s="24"/>
      <x:c r="R41" s="24"/>
      <x:c r="S41" s="32"/>
      <x:c r="T41" s="24"/>
      <x:c r="U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32"/>
      <x:c r="J42" s="32"/>
      <x:c r="K42" s="24"/>
      <x:c r="L42" s="34"/>
      <x:c r="M42" s="24"/>
      <x:c r="N42" s="24"/>
      <x:c r="O42" s="24"/>
      <x:c r="P42" s="32"/>
      <x:c r="Q42" s="24"/>
      <x:c r="R42" s="24"/>
      <x:c r="S42" s="32"/>
      <x:c r="T42" s="24"/>
      <x:c r="U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32"/>
      <x:c r="J43" s="32"/>
      <x:c r="K43" s="24"/>
      <x:c r="L43" s="34"/>
      <x:c r="M43" s="24"/>
      <x:c r="N43" s="24"/>
      <x:c r="O43" s="24"/>
      <x:c r="P43" s="32"/>
      <x:c r="Q43" s="24"/>
      <x:c r="R43" s="24"/>
      <x:c r="S43" s="32"/>
      <x:c r="T43" s="24"/>
      <x:c r="U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32"/>
      <x:c r="J44" s="32"/>
      <x:c r="K44" s="24"/>
      <x:c r="L44" s="34"/>
      <x:c r="M44" s="24"/>
      <x:c r="N44" s="24"/>
      <x:c r="O44" s="24"/>
      <x:c r="P44" s="32"/>
      <x:c r="Q44" s="24"/>
      <x:c r="R44" s="24"/>
      <x:c r="S44" s="32"/>
      <x:c r="T44" s="24"/>
      <x:c r="U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32"/>
      <x:c r="J45" s="32"/>
      <x:c r="K45" s="24"/>
      <x:c r="L45" s="34"/>
      <x:c r="M45" s="24"/>
      <x:c r="N45" s="24"/>
      <x:c r="O45" s="24"/>
      <x:c r="P45" s="32"/>
      <x:c r="Q45" s="24"/>
      <x:c r="R45" s="24"/>
      <x:c r="S45" s="32"/>
      <x:c r="T45" s="24"/>
      <x:c r="U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32"/>
      <x:c r="J46" s="32"/>
      <x:c r="K46" s="24"/>
      <x:c r="L46" s="34"/>
      <x:c r="M46" s="24"/>
      <x:c r="N46" s="24"/>
      <x:c r="O46" s="24"/>
      <x:c r="P46" s="32"/>
      <x:c r="Q46" s="24"/>
      <x:c r="R46" s="24"/>
      <x:c r="S46" s="32"/>
      <x:c r="T46" s="24"/>
      <x:c r="U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32"/>
      <x:c r="J47" s="32"/>
      <x:c r="K47" s="24"/>
      <x:c r="L47" s="34"/>
      <x:c r="M47" s="24"/>
      <x:c r="N47" s="24"/>
      <x:c r="O47" s="24"/>
      <x:c r="P47" s="32"/>
      <x:c r="Q47" s="24"/>
      <x:c r="R47" s="24"/>
      <x:c r="S47" s="32"/>
      <x:c r="T47" s="24"/>
      <x:c r="U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32"/>
      <x:c r="J48" s="32"/>
      <x:c r="K48" s="24"/>
      <x:c r="L48" s="34"/>
      <x:c r="M48" s="24"/>
      <x:c r="N48" s="24"/>
      <x:c r="O48" s="24"/>
      <x:c r="P48" s="32"/>
      <x:c r="Q48" s="24"/>
      <x:c r="R48" s="24"/>
      <x:c r="S48" s="32"/>
      <x:c r="T48" s="24"/>
      <x:c r="U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32"/>
      <x:c r="J49" s="32"/>
      <x:c r="K49" s="24"/>
      <x:c r="L49" s="34"/>
      <x:c r="M49" s="24"/>
      <x:c r="N49" s="24"/>
      <x:c r="O49" s="24"/>
      <x:c r="P49" s="32"/>
      <x:c r="Q49" s="24"/>
      <x:c r="R49" s="24"/>
      <x:c r="S49" s="32"/>
      <x:c r="T49" s="24"/>
      <x:c r="U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32"/>
      <x:c r="J50" s="32"/>
      <x:c r="K50" s="24"/>
      <x:c r="L50" s="34"/>
      <x:c r="M50" s="24"/>
      <x:c r="N50" s="24"/>
      <x:c r="O50" s="24"/>
      <x:c r="P50" s="32"/>
      <x:c r="Q50" s="24"/>
      <x:c r="R50" s="24"/>
      <x:c r="S50" s="32"/>
      <x:c r="T50" s="24"/>
      <x:c r="U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32"/>
      <x:c r="J51" s="32"/>
      <x:c r="K51" s="24"/>
      <x:c r="L51" s="34"/>
      <x:c r="M51" s="24"/>
      <x:c r="N51" s="24"/>
      <x:c r="O51" s="24"/>
      <x:c r="P51" s="32"/>
      <x:c r="Q51" s="24"/>
      <x:c r="R51" s="24"/>
      <x:c r="S51" s="32"/>
      <x:c r="T51" s="24"/>
      <x:c r="U51" s="24"/>
    </x:row>
  </x:sheetData>
  <x:conditionalFormatting sqref="L2:L5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{14D5547F-A3CA-A172-D31C-068913144F69}</x14:id>
        </x:ext>
      </x:extLst>
    </x:cfRule>
  </x:conditionalFormatting>
  <x:conditionalFormatting sqref="N2:N51">
    <x:cfRule type="expression" dxfId="0" priority="2">
      <x:formula>N2="Dropped"</x:formula>
    </x:cfRule>
    <x:cfRule type="expression" dxfId="1" priority="3">
      <x:formula>N2="Rejected"</x:formula>
    </x:cfRule>
    <x:cfRule type="expression" dxfId="2" priority="4">
      <x:formula>N2="Offer"</x:formula>
    </x:cfRule>
  </x:conditionalFormatting>
  <x:dataValidations count="8">
    <x:dataValidation type="list" sqref="G2:G51">
      <x:formula1>_Lists!$C$2:$C$8</x:formula1>
    </x:dataValidation>
    <x:dataValidation type="list" sqref="H2:H51">
      <x:formula1>_Lists!$I$2:$I$3</x:formula1>
    </x:dataValidation>
    <x:dataValidation type="list" sqref="K2:K51">
      <x:formula1>_Lists!$J$2:$J$6</x:formula1>
    </x:dataValidation>
    <x:dataValidation type="list" sqref="M2:M51">
      <x:formula1>_Lists!$B$2:$B$5</x:formula1>
    </x:dataValidation>
    <x:dataValidation type="list" sqref="N2:N51">
      <x:formula1>_Lists!$A$2:$A$10</x:formula1>
    </x:dataValidation>
    <x:dataValidation type="list" sqref="O2:O51">
      <x:formula1>_Lists!$D$2:$D$16</x:formula1>
    </x:dataValidation>
    <x:dataValidation type="list" sqref="Q2:Q51">
      <x:formula1>_Lists!$E$2:$E$10</x:formula1>
    </x:dataValidation>
    <x:dataValidation type="list" sqref="T2:T51">
      <x:formula1>_Lists!$K$2:$K$5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4e96cc41254ce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4D5547F-A3CA-A172-D31C-068913144F69}">
            <x14:dataBar gradient="1">
              <x14:cfvo type="min"/>
              <x14:cfvo type="max"/>
              <x14:fillColor rgb="FFA02B93"/>
            </x14:dataBar>
          </x14:cfRule>
          <xm:sqref>L2:L51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8" hidden="0" customWidth="1"/>
    <x:col min="5" max="5" width="20" hidden="0" customWidth="1"/>
    <x:col min="6" max="6" width="18" hidden="0" customWidth="1"/>
    <x:col min="7" max="7" width="36" hidden="0" customWidth="1"/>
    <x:col min="8" max="8" width="26" hidden="0" customWidth="1"/>
    <x:col min="9" max="9" width="34" hidden="0" customWidth="1"/>
    <x:col min="10" max="10" width="13" hidden="0" customWidth="1"/>
    <x:col min="11" max="11" width="38" hidden="0" customWidth="1"/>
    <x:col min="12" max="12" width="18" hidden="0" customWidth="1"/>
    <x:col min="13" max="13" width="14" hidden="0" customWidth="1"/>
    <x:col min="14" max="14" width="14" hidden="0" customWidth="1"/>
    <x:col min="15" max="15" width="28" hidden="0" customWidth="1"/>
  </x:cols>
  <x:sheetData>
    <x:row r="1">
      <x:c r="A1" s="6" t="str">
        <x:v>Job ID</x:v>
      </x:c>
      <x:c r="B1" s="6" t="str">
        <x:v>Company</x:v>
      </x:c>
      <x:c r="C1" s="6" t="str">
        <x:v>Name</x:v>
      </x:c>
      <x:c r="D1" s="6" t="str">
        <x:v>Title</x:v>
      </x:c>
      <x:c r="E1" s="6" t="str">
        <x:v>Contact Type</x:v>
      </x:c>
      <x:c r="F1" s="6" t="str">
        <x:v>Location</x:v>
      </x:c>
      <x:c r="G1" s="6" t="str">
        <x:v>LinkedIn URL</x:v>
      </x:c>
      <x:c r="H1" s="6" t="str">
        <x:v>Work Email</x:v>
      </x:c>
      <x:c r="I1" s="6" t="str">
        <x:v>Relevance</x:v>
      </x:c>
      <x:c r="J1" s="6" t="str">
        <x:v>Confidence</x:v>
      </x:c>
      <x:c r="K1" s="6" t="str">
        <x:v>Evidence / Basis</x:v>
      </x:c>
      <x:c r="L1" s="6" t="str">
        <x:v>Outreach Status</x:v>
      </x:c>
      <x:c r="M1" s="6" t="str">
        <x:v>Last Contacted</x:v>
      </x:c>
      <x:c r="N1" s="6" t="str">
        <x:v>Last Verified</x:v>
      </x:c>
      <x:c r="O1" s="6" t="str">
        <x:v>Notes</x:v>
      </x:c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32"/>
      <x:c r="N2" s="32"/>
      <x:c r="O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32"/>
      <x:c r="N3" s="32"/>
      <x:c r="O3" s="24"/>
    </x:row>
    <x:row r="4">
      <x:c r="A4" s="24"/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32"/>
      <x:c r="N4" s="32"/>
      <x:c r="O4" s="24"/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32"/>
      <x:c r="N5" s="32"/>
      <x:c r="O5" s="24"/>
    </x:row>
    <x:row r="6">
      <x:c r="A6" s="24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32"/>
      <x:c r="N6" s="32"/>
      <x:c r="O6" s="24"/>
    </x:row>
    <x:row r="7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32"/>
      <x:c r="N7" s="32"/>
      <x:c r="O7" s="24"/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32"/>
      <x:c r="N8" s="32"/>
      <x:c r="O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32"/>
      <x:c r="N9" s="32"/>
      <x:c r="O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32"/>
      <x:c r="N10" s="32"/>
      <x:c r="O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32"/>
      <x:c r="N11" s="32"/>
      <x:c r="O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32"/>
      <x:c r="N12" s="32"/>
      <x:c r="O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32"/>
      <x:c r="N13" s="32"/>
      <x:c r="O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32"/>
      <x:c r="N14" s="32"/>
      <x:c r="O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32"/>
      <x:c r="N15" s="32"/>
      <x:c r="O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32"/>
      <x:c r="N16" s="32"/>
      <x:c r="O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32"/>
      <x:c r="N17" s="32"/>
      <x:c r="O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32"/>
      <x:c r="N18" s="32"/>
      <x:c r="O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32"/>
      <x:c r="N19" s="32"/>
      <x:c r="O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32"/>
      <x:c r="N20" s="32"/>
      <x:c r="O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32"/>
      <x:c r="N21" s="32"/>
      <x:c r="O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32"/>
      <x:c r="N22" s="32"/>
      <x:c r="O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32"/>
      <x:c r="N23" s="32"/>
      <x:c r="O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32"/>
      <x:c r="N24" s="32"/>
      <x:c r="O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32"/>
      <x:c r="N25" s="32"/>
      <x:c r="O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32"/>
      <x:c r="N26" s="32"/>
      <x:c r="O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32"/>
      <x:c r="N27" s="32"/>
      <x:c r="O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32"/>
      <x:c r="N28" s="32"/>
      <x:c r="O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32"/>
      <x:c r="N29" s="32"/>
      <x:c r="O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32"/>
      <x:c r="N30" s="32"/>
      <x:c r="O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32"/>
      <x:c r="N31" s="32"/>
      <x:c r="O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32"/>
      <x:c r="N32" s="32"/>
      <x:c r="O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32"/>
      <x:c r="N33" s="32"/>
      <x:c r="O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32"/>
      <x:c r="N34" s="32"/>
      <x:c r="O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32"/>
      <x:c r="N35" s="32"/>
      <x:c r="O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32"/>
      <x:c r="N36" s="32"/>
      <x:c r="O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32"/>
      <x:c r="N37" s="32"/>
      <x:c r="O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32"/>
      <x:c r="N38" s="32"/>
      <x:c r="O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32"/>
      <x:c r="N39" s="32"/>
      <x:c r="O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32"/>
      <x:c r="N40" s="32"/>
      <x:c r="O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32"/>
      <x:c r="N41" s="32"/>
      <x:c r="O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32"/>
      <x:c r="N42" s="32"/>
      <x:c r="O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32"/>
      <x:c r="N43" s="32"/>
      <x:c r="O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32"/>
      <x:c r="N44" s="32"/>
      <x:c r="O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32"/>
      <x:c r="N45" s="32"/>
      <x:c r="O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32"/>
      <x:c r="N46" s="32"/>
      <x:c r="O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32"/>
      <x:c r="N47" s="32"/>
      <x:c r="O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32"/>
      <x:c r="N48" s="32"/>
      <x:c r="O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32"/>
      <x:c r="N49" s="32"/>
      <x:c r="O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32"/>
      <x:c r="N50" s="32"/>
      <x:c r="O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32"/>
      <x:c r="N51" s="32"/>
      <x:c r="O51" s="24"/>
    </x:row>
  </x:sheetData>
  <x:dataValidations count="3">
    <x:dataValidation type="list" sqref="E2:E51">
      <x:formula1>_Lists!$F$2:$F$9</x:formula1>
    </x:dataValidation>
    <x:dataValidation type="list" sqref="J2:J51">
      <x:formula1>_Lists!$L$2:$L$5</x:formula1>
    </x:dataValidation>
    <x:dataValidation type="list" sqref="L2:L51">
      <x:formula1>_Lists!$G$2:$G$7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8abdf9c5bc4d0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18" hidden="0" customWidth="1"/>
    <x:col min="5" max="5" width="18" hidden="0" customWidth="1"/>
    <x:col min="6" max="6" width="44" hidden="0" customWidth="1"/>
  </x:cols>
  <x:sheetData>
    <x:row r="1">
      <x:c r="A1" s="6" t="str">
        <x:v>Date</x:v>
      </x:c>
      <x:c r="B1" s="6" t="str">
        <x:v>Job ID</x:v>
      </x:c>
      <x:c r="C1" s="6" t="str">
        <x:v>Event</x:v>
      </x:c>
      <x:c r="D1" s="6" t="str">
        <x:v>Previous Status</x:v>
      </x:c>
      <x:c r="E1" s="6" t="str">
        <x:v>New Status</x:v>
      </x:c>
      <x:c r="F1" s="6" t="str">
        <x:v>Notes</x:v>
      </x:c>
    </x:row>
    <x:row r="2">
      <x:c r="A2" s="32"/>
      <x:c r="B2" s="24"/>
      <x:c r="C2" s="24"/>
      <x:c r="D2" s="24"/>
      <x:c r="E2" s="24"/>
      <x:c r="F2" s="24"/>
    </x:row>
    <x:row r="3">
      <x:c r="A3" s="32"/>
      <x:c r="B3" s="24"/>
      <x:c r="C3" s="24"/>
      <x:c r="D3" s="24"/>
      <x:c r="E3" s="24"/>
      <x:c r="F3" s="24"/>
    </x:row>
    <x:row r="4">
      <x:c r="A4" s="32"/>
      <x:c r="B4" s="24"/>
      <x:c r="C4" s="24"/>
      <x:c r="D4" s="24"/>
      <x:c r="E4" s="24"/>
      <x:c r="F4" s="24"/>
    </x:row>
    <x:row r="5">
      <x:c r="A5" s="32"/>
      <x:c r="B5" s="24"/>
      <x:c r="C5" s="24"/>
      <x:c r="D5" s="24"/>
      <x:c r="E5" s="24"/>
      <x:c r="F5" s="24"/>
    </x:row>
    <x:row r="6">
      <x:c r="A6" s="32"/>
      <x:c r="B6" s="24"/>
      <x:c r="C6" s="24"/>
      <x:c r="D6" s="24"/>
      <x:c r="E6" s="24"/>
      <x:c r="F6" s="24"/>
    </x:row>
    <x:row r="7">
      <x:c r="A7" s="32"/>
      <x:c r="B7" s="24"/>
      <x:c r="C7" s="24"/>
      <x:c r="D7" s="24"/>
      <x:c r="E7" s="24"/>
      <x:c r="F7" s="24"/>
    </x:row>
    <x:row r="8">
      <x:c r="A8" s="32"/>
      <x:c r="B8" s="24"/>
      <x:c r="C8" s="24"/>
      <x:c r="D8" s="24"/>
      <x:c r="E8" s="24"/>
      <x:c r="F8" s="24"/>
    </x:row>
    <x:row r="9">
      <x:c r="A9" s="32"/>
      <x:c r="B9" s="24"/>
      <x:c r="C9" s="24"/>
      <x:c r="D9" s="24"/>
      <x:c r="E9" s="24"/>
      <x:c r="F9" s="24"/>
    </x:row>
    <x:row r="10">
      <x:c r="A10" s="32"/>
      <x:c r="B10" s="24"/>
      <x:c r="C10" s="24"/>
      <x:c r="D10" s="24"/>
      <x:c r="E10" s="24"/>
      <x:c r="F10" s="24"/>
    </x:row>
    <x:row r="11">
      <x:c r="A11" s="32"/>
      <x:c r="B11" s="24"/>
      <x:c r="C11" s="24"/>
      <x:c r="D11" s="24"/>
      <x:c r="E11" s="24"/>
      <x:c r="F11" s="24"/>
    </x:row>
    <x:row r="12">
      <x:c r="A12" s="32"/>
      <x:c r="B12" s="24"/>
      <x:c r="C12" s="24"/>
      <x:c r="D12" s="24"/>
      <x:c r="E12" s="24"/>
      <x:c r="F12" s="24"/>
    </x:row>
    <x:row r="13">
      <x:c r="A13" s="32"/>
      <x:c r="B13" s="24"/>
      <x:c r="C13" s="24"/>
      <x:c r="D13" s="24"/>
      <x:c r="E13" s="24"/>
      <x:c r="F13" s="24"/>
    </x:row>
    <x:row r="14">
      <x:c r="A14" s="32"/>
      <x:c r="B14" s="24"/>
      <x:c r="C14" s="24"/>
      <x:c r="D14" s="24"/>
      <x:c r="E14" s="24"/>
      <x:c r="F14" s="24"/>
    </x:row>
    <x:row r="15">
      <x:c r="A15" s="32"/>
      <x:c r="B15" s="24"/>
      <x:c r="C15" s="24"/>
      <x:c r="D15" s="24"/>
      <x:c r="E15" s="24"/>
      <x:c r="F15" s="24"/>
    </x:row>
    <x:row r="16">
      <x:c r="A16" s="32"/>
      <x:c r="B16" s="24"/>
      <x:c r="C16" s="24"/>
      <x:c r="D16" s="24"/>
      <x:c r="E16" s="24"/>
      <x:c r="F16" s="24"/>
    </x:row>
    <x:row r="17">
      <x:c r="A17" s="32"/>
      <x:c r="B17" s="24"/>
      <x:c r="C17" s="24"/>
      <x:c r="D17" s="24"/>
      <x:c r="E17" s="24"/>
      <x:c r="F17" s="24"/>
    </x:row>
    <x:row r="18">
      <x:c r="A18" s="32"/>
      <x:c r="B18" s="24"/>
      <x:c r="C18" s="24"/>
      <x:c r="D18" s="24"/>
      <x:c r="E18" s="24"/>
      <x:c r="F18" s="24"/>
    </x:row>
    <x:row r="19">
      <x:c r="A19" s="32"/>
      <x:c r="B19" s="24"/>
      <x:c r="C19" s="24"/>
      <x:c r="D19" s="24"/>
      <x:c r="E19" s="24"/>
      <x:c r="F19" s="24"/>
    </x:row>
    <x:row r="20">
      <x:c r="A20" s="32"/>
      <x:c r="B20" s="24"/>
      <x:c r="C20" s="24"/>
      <x:c r="D20" s="24"/>
      <x:c r="E20" s="24"/>
      <x:c r="F20" s="24"/>
    </x:row>
    <x:row r="21">
      <x:c r="A21" s="32"/>
      <x:c r="B21" s="24"/>
      <x:c r="C21" s="24"/>
      <x:c r="D21" s="24"/>
      <x:c r="E21" s="24"/>
      <x:c r="F21" s="24"/>
    </x:row>
    <x:row r="22">
      <x:c r="A22" s="32"/>
      <x:c r="B22" s="24"/>
      <x:c r="C22" s="24"/>
      <x:c r="D22" s="24"/>
      <x:c r="E22" s="24"/>
      <x:c r="F22" s="24"/>
    </x:row>
    <x:row r="23">
      <x:c r="A23" s="32"/>
      <x:c r="B23" s="24"/>
      <x:c r="C23" s="24"/>
      <x:c r="D23" s="24"/>
      <x:c r="E23" s="24"/>
      <x:c r="F23" s="24"/>
    </x:row>
    <x:row r="24">
      <x:c r="A24" s="32"/>
      <x:c r="B24" s="24"/>
      <x:c r="C24" s="24"/>
      <x:c r="D24" s="24"/>
      <x:c r="E24" s="24"/>
      <x:c r="F24" s="24"/>
    </x:row>
    <x:row r="25">
      <x:c r="A25" s="32"/>
      <x:c r="B25" s="24"/>
      <x:c r="C25" s="24"/>
      <x:c r="D25" s="24"/>
      <x:c r="E25" s="24"/>
      <x:c r="F25" s="24"/>
    </x:row>
    <x:row r="26">
      <x:c r="A26" s="32"/>
      <x:c r="B26" s="24"/>
      <x:c r="C26" s="24"/>
      <x:c r="D26" s="24"/>
      <x:c r="E26" s="24"/>
      <x:c r="F26" s="24"/>
    </x:row>
    <x:row r="27">
      <x:c r="A27" s="32"/>
      <x:c r="B27" s="24"/>
      <x:c r="C27" s="24"/>
      <x:c r="D27" s="24"/>
      <x:c r="E27" s="24"/>
      <x:c r="F27" s="24"/>
    </x:row>
    <x:row r="28">
      <x:c r="A28" s="32"/>
      <x:c r="B28" s="24"/>
      <x:c r="C28" s="24"/>
      <x:c r="D28" s="24"/>
      <x:c r="E28" s="24"/>
      <x:c r="F28" s="24"/>
    </x:row>
    <x:row r="29">
      <x:c r="A29" s="32"/>
      <x:c r="B29" s="24"/>
      <x:c r="C29" s="24"/>
      <x:c r="D29" s="24"/>
      <x:c r="E29" s="24"/>
      <x:c r="F29" s="24"/>
    </x:row>
    <x:row r="30">
      <x:c r="A30" s="32"/>
      <x:c r="B30" s="24"/>
      <x:c r="C30" s="24"/>
      <x:c r="D30" s="24"/>
      <x:c r="E30" s="24"/>
      <x:c r="F30" s="24"/>
    </x:row>
    <x:row r="31">
      <x:c r="A31" s="32"/>
      <x:c r="B31" s="24"/>
      <x:c r="C31" s="24"/>
      <x:c r="D31" s="24"/>
      <x:c r="E31" s="24"/>
      <x:c r="F31" s="24"/>
    </x:row>
    <x:row r="32">
      <x:c r="A32" s="32"/>
      <x:c r="B32" s="24"/>
      <x:c r="C32" s="24"/>
      <x:c r="D32" s="24"/>
      <x:c r="E32" s="24"/>
      <x:c r="F32" s="24"/>
    </x:row>
    <x:row r="33">
      <x:c r="A33" s="32"/>
      <x:c r="B33" s="24"/>
      <x:c r="C33" s="24"/>
      <x:c r="D33" s="24"/>
      <x:c r="E33" s="24"/>
      <x:c r="F33" s="24"/>
    </x:row>
    <x:row r="34">
      <x:c r="A34" s="32"/>
      <x:c r="B34" s="24"/>
      <x:c r="C34" s="24"/>
      <x:c r="D34" s="24"/>
      <x:c r="E34" s="24"/>
      <x:c r="F34" s="24"/>
    </x:row>
    <x:row r="35">
      <x:c r="A35" s="32"/>
      <x:c r="B35" s="24"/>
      <x:c r="C35" s="24"/>
      <x:c r="D35" s="24"/>
      <x:c r="E35" s="24"/>
      <x:c r="F35" s="24"/>
    </x:row>
    <x:row r="36">
      <x:c r="A36" s="32"/>
      <x:c r="B36" s="24"/>
      <x:c r="C36" s="24"/>
      <x:c r="D36" s="24"/>
      <x:c r="E36" s="24"/>
      <x:c r="F36" s="24"/>
    </x:row>
    <x:row r="37">
      <x:c r="A37" s="32"/>
      <x:c r="B37" s="24"/>
      <x:c r="C37" s="24"/>
      <x:c r="D37" s="24"/>
      <x:c r="E37" s="24"/>
      <x:c r="F37" s="24"/>
    </x:row>
    <x:row r="38">
      <x:c r="A38" s="32"/>
      <x:c r="B38" s="24"/>
      <x:c r="C38" s="24"/>
      <x:c r="D38" s="24"/>
      <x:c r="E38" s="24"/>
      <x:c r="F38" s="24"/>
    </x:row>
    <x:row r="39">
      <x:c r="A39" s="32"/>
      <x:c r="B39" s="24"/>
      <x:c r="C39" s="24"/>
      <x:c r="D39" s="24"/>
      <x:c r="E39" s="24"/>
      <x:c r="F39" s="24"/>
    </x:row>
    <x:row r="40">
      <x:c r="A40" s="32"/>
      <x:c r="B40" s="24"/>
      <x:c r="C40" s="24"/>
      <x:c r="D40" s="24"/>
      <x:c r="E40" s="24"/>
      <x:c r="F40" s="24"/>
    </x:row>
    <x:row r="41">
      <x:c r="A41" s="32"/>
      <x:c r="B41" s="24"/>
      <x:c r="C41" s="24"/>
      <x:c r="D41" s="24"/>
      <x:c r="E41" s="24"/>
      <x:c r="F41" s="24"/>
    </x:row>
    <x:row r="42">
      <x:c r="A42" s="32"/>
      <x:c r="B42" s="24"/>
      <x:c r="C42" s="24"/>
      <x:c r="D42" s="24"/>
      <x:c r="E42" s="24"/>
      <x:c r="F42" s="24"/>
    </x:row>
    <x:row r="43">
      <x:c r="A43" s="32"/>
      <x:c r="B43" s="24"/>
      <x:c r="C43" s="24"/>
      <x:c r="D43" s="24"/>
      <x:c r="E43" s="24"/>
      <x:c r="F43" s="24"/>
    </x:row>
    <x:row r="44">
      <x:c r="A44" s="32"/>
      <x:c r="B44" s="24"/>
      <x:c r="C44" s="24"/>
      <x:c r="D44" s="24"/>
      <x:c r="E44" s="24"/>
      <x:c r="F44" s="24"/>
    </x:row>
    <x:row r="45">
      <x:c r="A45" s="32"/>
      <x:c r="B45" s="24"/>
      <x:c r="C45" s="24"/>
      <x:c r="D45" s="24"/>
      <x:c r="E45" s="24"/>
      <x:c r="F45" s="24"/>
    </x:row>
    <x:row r="46">
      <x:c r="A46" s="32"/>
      <x:c r="B46" s="24"/>
      <x:c r="C46" s="24"/>
      <x:c r="D46" s="24"/>
      <x:c r="E46" s="24"/>
      <x:c r="F46" s="24"/>
    </x:row>
    <x:row r="47">
      <x:c r="A47" s="32"/>
      <x:c r="B47" s="24"/>
      <x:c r="C47" s="24"/>
      <x:c r="D47" s="24"/>
      <x:c r="E47" s="24"/>
      <x:c r="F47" s="24"/>
    </x:row>
    <x:row r="48">
      <x:c r="A48" s="32"/>
      <x:c r="B48" s="24"/>
      <x:c r="C48" s="24"/>
      <x:c r="D48" s="24"/>
      <x:c r="E48" s="24"/>
      <x:c r="F48" s="24"/>
    </x:row>
    <x:row r="49">
      <x:c r="A49" s="32"/>
      <x:c r="B49" s="24"/>
      <x:c r="C49" s="24"/>
      <x:c r="D49" s="24"/>
      <x:c r="E49" s="24"/>
      <x:c r="F49" s="24"/>
    </x:row>
    <x:row r="50">
      <x:c r="A50" s="32"/>
      <x:c r="B50" s="24"/>
      <x:c r="C50" s="24"/>
      <x:c r="D50" s="24"/>
      <x:c r="E50" s="24"/>
      <x:c r="F50" s="24"/>
    </x:row>
    <x:row r="51">
      <x:c r="A51" s="32"/>
      <x:c r="B51" s="24"/>
      <x:c r="C51" s="24"/>
      <x:c r="D51" s="24"/>
      <x:c r="E51" s="24"/>
      <x:c r="F51" s="24"/>
    </x:row>
    <x:row r="52">
      <x:c r="A52" s="32"/>
      <x:c r="B52" s="24"/>
      <x:c r="C52" s="24"/>
      <x:c r="D52" s="24"/>
      <x:c r="E52" s="24"/>
      <x:c r="F52" s="24"/>
    </x:row>
    <x:row r="53">
      <x:c r="A53" s="32"/>
      <x:c r="B53" s="24"/>
      <x:c r="C53" s="24"/>
      <x:c r="D53" s="24"/>
      <x:c r="E53" s="24"/>
      <x:c r="F53" s="24"/>
    </x:row>
    <x:row r="54">
      <x:c r="A54" s="32"/>
      <x:c r="B54" s="24"/>
      <x:c r="C54" s="24"/>
      <x:c r="D54" s="24"/>
      <x:c r="E54" s="24"/>
      <x:c r="F54" s="24"/>
    </x:row>
    <x:row r="55">
      <x:c r="A55" s="32"/>
      <x:c r="B55" s="24"/>
      <x:c r="C55" s="24"/>
      <x:c r="D55" s="24"/>
      <x:c r="E55" s="24"/>
      <x:c r="F55" s="24"/>
    </x:row>
    <x:row r="56">
      <x:c r="A56" s="32"/>
      <x:c r="B56" s="24"/>
      <x:c r="C56" s="24"/>
      <x:c r="D56" s="24"/>
      <x:c r="E56" s="24"/>
      <x:c r="F56" s="24"/>
    </x:row>
    <x:row r="57">
      <x:c r="A57" s="32"/>
      <x:c r="B57" s="24"/>
      <x:c r="C57" s="24"/>
      <x:c r="D57" s="24"/>
      <x:c r="E57" s="24"/>
      <x:c r="F57" s="24"/>
    </x:row>
    <x:row r="58">
      <x:c r="A58" s="32"/>
      <x:c r="B58" s="24"/>
      <x:c r="C58" s="24"/>
      <x:c r="D58" s="24"/>
      <x:c r="E58" s="24"/>
      <x:c r="F58" s="24"/>
    </x:row>
    <x:row r="59">
      <x:c r="A59" s="32"/>
      <x:c r="B59" s="24"/>
      <x:c r="C59" s="24"/>
      <x:c r="D59" s="24"/>
      <x:c r="E59" s="24"/>
      <x:c r="F59" s="24"/>
    </x:row>
    <x:row r="60">
      <x:c r="A60" s="32"/>
      <x:c r="B60" s="24"/>
      <x:c r="C60" s="24"/>
      <x:c r="D60" s="24"/>
      <x:c r="E60" s="24"/>
      <x:c r="F60" s="24"/>
    </x:row>
    <x:row r="61">
      <x:c r="A61" s="32"/>
      <x:c r="B61" s="24"/>
      <x:c r="C61" s="24"/>
      <x:c r="D61" s="24"/>
      <x:c r="E61" s="24"/>
      <x:c r="F61" s="24"/>
    </x:row>
    <x:row r="62">
      <x:c r="A62" s="32"/>
      <x:c r="B62" s="24"/>
      <x:c r="C62" s="24"/>
      <x:c r="D62" s="24"/>
      <x:c r="E62" s="24"/>
      <x:c r="F62" s="24"/>
    </x:row>
    <x:row r="63">
      <x:c r="A63" s="32"/>
      <x:c r="B63" s="24"/>
      <x:c r="C63" s="24"/>
      <x:c r="D63" s="24"/>
      <x:c r="E63" s="24"/>
      <x:c r="F63" s="24"/>
    </x:row>
    <x:row r="64">
      <x:c r="A64" s="32"/>
      <x:c r="B64" s="24"/>
      <x:c r="C64" s="24"/>
      <x:c r="D64" s="24"/>
      <x:c r="E64" s="24"/>
      <x:c r="F64" s="24"/>
    </x:row>
    <x:row r="65">
      <x:c r="A65" s="32"/>
      <x:c r="B65" s="24"/>
      <x:c r="C65" s="24"/>
      <x:c r="D65" s="24"/>
      <x:c r="E65" s="24"/>
      <x:c r="F65" s="24"/>
    </x:row>
    <x:row r="66">
      <x:c r="A66" s="32"/>
      <x:c r="B66" s="24"/>
      <x:c r="C66" s="24"/>
      <x:c r="D66" s="24"/>
      <x:c r="E66" s="24"/>
      <x:c r="F66" s="24"/>
    </x:row>
    <x:row r="67">
      <x:c r="A67" s="32"/>
      <x:c r="B67" s="24"/>
      <x:c r="C67" s="24"/>
      <x:c r="D67" s="24"/>
      <x:c r="E67" s="24"/>
      <x:c r="F67" s="24"/>
    </x:row>
    <x:row r="68">
      <x:c r="A68" s="32"/>
      <x:c r="B68" s="24"/>
      <x:c r="C68" s="24"/>
      <x:c r="D68" s="24"/>
      <x:c r="E68" s="24"/>
      <x:c r="F68" s="24"/>
    </x:row>
    <x:row r="69">
      <x:c r="A69" s="32"/>
      <x:c r="B69" s="24"/>
      <x:c r="C69" s="24"/>
      <x:c r="D69" s="24"/>
      <x:c r="E69" s="24"/>
      <x:c r="F69" s="24"/>
    </x:row>
    <x:row r="70">
      <x:c r="A70" s="32"/>
      <x:c r="B70" s="24"/>
      <x:c r="C70" s="24"/>
      <x:c r="D70" s="24"/>
      <x:c r="E70" s="24"/>
      <x:c r="F70" s="24"/>
    </x:row>
    <x:row r="71">
      <x:c r="A71" s="32"/>
      <x:c r="B71" s="24"/>
      <x:c r="C71" s="24"/>
      <x:c r="D71" s="24"/>
      <x:c r="E71" s="24"/>
      <x:c r="F71" s="24"/>
    </x:row>
    <x:row r="72">
      <x:c r="A72" s="32"/>
      <x:c r="B72" s="24"/>
      <x:c r="C72" s="24"/>
      <x:c r="D72" s="24"/>
      <x:c r="E72" s="24"/>
      <x:c r="F72" s="24"/>
    </x:row>
    <x:row r="73">
      <x:c r="A73" s="32"/>
      <x:c r="B73" s="24"/>
      <x:c r="C73" s="24"/>
      <x:c r="D73" s="24"/>
      <x:c r="E73" s="24"/>
      <x:c r="F73" s="24"/>
    </x:row>
    <x:row r="74">
      <x:c r="A74" s="32"/>
      <x:c r="B74" s="24"/>
      <x:c r="C74" s="24"/>
      <x:c r="D74" s="24"/>
      <x:c r="E74" s="24"/>
      <x:c r="F74" s="24"/>
    </x:row>
    <x:row r="75">
      <x:c r="A75" s="32"/>
      <x:c r="B75" s="24"/>
      <x:c r="C75" s="24"/>
      <x:c r="D75" s="24"/>
      <x:c r="E75" s="24"/>
      <x:c r="F75" s="24"/>
    </x:row>
    <x:row r="76">
      <x:c r="A76" s="32"/>
      <x:c r="B76" s="24"/>
      <x:c r="C76" s="24"/>
      <x:c r="D76" s="24"/>
      <x:c r="E76" s="24"/>
      <x:c r="F76" s="24"/>
    </x:row>
    <x:row r="77">
      <x:c r="A77" s="32"/>
      <x:c r="B77" s="24"/>
      <x:c r="C77" s="24"/>
      <x:c r="D77" s="24"/>
      <x:c r="E77" s="24"/>
      <x:c r="F77" s="24"/>
    </x:row>
    <x:row r="78">
      <x:c r="A78" s="32"/>
      <x:c r="B78" s="24"/>
      <x:c r="C78" s="24"/>
      <x:c r="D78" s="24"/>
      <x:c r="E78" s="24"/>
      <x:c r="F78" s="24"/>
    </x:row>
    <x:row r="79">
      <x:c r="A79" s="32"/>
      <x:c r="B79" s="24"/>
      <x:c r="C79" s="24"/>
      <x:c r="D79" s="24"/>
      <x:c r="E79" s="24"/>
      <x:c r="F79" s="24"/>
    </x:row>
    <x:row r="80">
      <x:c r="A80" s="32"/>
      <x:c r="B80" s="24"/>
      <x:c r="C80" s="24"/>
      <x:c r="D80" s="24"/>
      <x:c r="E80" s="24"/>
      <x:c r="F80" s="24"/>
    </x:row>
    <x:row r="81">
      <x:c r="A81" s="32"/>
      <x:c r="B81" s="24"/>
      <x:c r="C81" s="24"/>
      <x:c r="D81" s="24"/>
      <x:c r="E81" s="24"/>
      <x:c r="F81" s="24"/>
    </x:row>
    <x:row r="82">
      <x:c r="A82" s="32"/>
      <x:c r="B82" s="24"/>
      <x:c r="C82" s="24"/>
      <x:c r="D82" s="24"/>
      <x:c r="E82" s="24"/>
      <x:c r="F82" s="24"/>
    </x:row>
    <x:row r="83">
      <x:c r="A83" s="32"/>
      <x:c r="B83" s="24"/>
      <x:c r="C83" s="24"/>
      <x:c r="D83" s="24"/>
      <x:c r="E83" s="24"/>
      <x:c r="F83" s="24"/>
    </x:row>
    <x:row r="84">
      <x:c r="A84" s="32"/>
      <x:c r="B84" s="24"/>
      <x:c r="C84" s="24"/>
      <x:c r="D84" s="24"/>
      <x:c r="E84" s="24"/>
      <x:c r="F84" s="24"/>
    </x:row>
    <x:row r="85">
      <x:c r="A85" s="32"/>
      <x:c r="B85" s="24"/>
      <x:c r="C85" s="24"/>
      <x:c r="D85" s="24"/>
      <x:c r="E85" s="24"/>
      <x:c r="F85" s="24"/>
    </x:row>
    <x:row r="86">
      <x:c r="A86" s="32"/>
      <x:c r="B86" s="24"/>
      <x:c r="C86" s="24"/>
      <x:c r="D86" s="24"/>
      <x:c r="E86" s="24"/>
      <x:c r="F86" s="24"/>
    </x:row>
    <x:row r="87">
      <x:c r="A87" s="32"/>
      <x:c r="B87" s="24"/>
      <x:c r="C87" s="24"/>
      <x:c r="D87" s="24"/>
      <x:c r="E87" s="24"/>
      <x:c r="F87" s="24"/>
    </x:row>
    <x:row r="88">
      <x:c r="A88" s="32"/>
      <x:c r="B88" s="24"/>
      <x:c r="C88" s="24"/>
      <x:c r="D88" s="24"/>
      <x:c r="E88" s="24"/>
      <x:c r="F88" s="24"/>
    </x:row>
    <x:row r="89">
      <x:c r="A89" s="32"/>
      <x:c r="B89" s="24"/>
      <x:c r="C89" s="24"/>
      <x:c r="D89" s="24"/>
      <x:c r="E89" s="24"/>
      <x:c r="F89" s="24"/>
    </x:row>
    <x:row r="90">
      <x:c r="A90" s="32"/>
      <x:c r="B90" s="24"/>
      <x:c r="C90" s="24"/>
      <x:c r="D90" s="24"/>
      <x:c r="E90" s="24"/>
      <x:c r="F90" s="24"/>
    </x:row>
    <x:row r="91">
      <x:c r="A91" s="32"/>
      <x:c r="B91" s="24"/>
      <x:c r="C91" s="24"/>
      <x:c r="D91" s="24"/>
      <x:c r="E91" s="24"/>
      <x:c r="F91" s="24"/>
    </x:row>
    <x:row r="92">
      <x:c r="A92" s="32"/>
      <x:c r="B92" s="24"/>
      <x:c r="C92" s="24"/>
      <x:c r="D92" s="24"/>
      <x:c r="E92" s="24"/>
      <x:c r="F92" s="24"/>
    </x:row>
    <x:row r="93">
      <x:c r="A93" s="32"/>
      <x:c r="B93" s="24"/>
      <x:c r="C93" s="24"/>
      <x:c r="D93" s="24"/>
      <x:c r="E93" s="24"/>
      <x:c r="F93" s="24"/>
    </x:row>
    <x:row r="94">
      <x:c r="A94" s="32"/>
      <x:c r="B94" s="24"/>
      <x:c r="C94" s="24"/>
      <x:c r="D94" s="24"/>
      <x:c r="E94" s="24"/>
      <x:c r="F94" s="24"/>
    </x:row>
    <x:row r="95">
      <x:c r="A95" s="32"/>
      <x:c r="B95" s="24"/>
      <x:c r="C95" s="24"/>
      <x:c r="D95" s="24"/>
      <x:c r="E95" s="24"/>
      <x:c r="F95" s="24"/>
    </x:row>
    <x:row r="96">
      <x:c r="A96" s="32"/>
      <x:c r="B96" s="24"/>
      <x:c r="C96" s="24"/>
      <x:c r="D96" s="24"/>
      <x:c r="E96" s="24"/>
      <x:c r="F96" s="24"/>
    </x:row>
    <x:row r="97">
      <x:c r="A97" s="32"/>
      <x:c r="B97" s="24"/>
      <x:c r="C97" s="24"/>
      <x:c r="D97" s="24"/>
      <x:c r="E97" s="24"/>
      <x:c r="F97" s="24"/>
    </x:row>
    <x:row r="98">
      <x:c r="A98" s="32"/>
      <x:c r="B98" s="24"/>
      <x:c r="C98" s="24"/>
      <x:c r="D98" s="24"/>
      <x:c r="E98" s="24"/>
      <x:c r="F98" s="24"/>
    </x:row>
    <x:row r="99">
      <x:c r="A99" s="32"/>
      <x:c r="B99" s="24"/>
      <x:c r="C99" s="24"/>
      <x:c r="D99" s="24"/>
      <x:c r="E99" s="24"/>
      <x:c r="F99" s="24"/>
    </x:row>
    <x:row r="100">
      <x:c r="A100" s="32"/>
      <x:c r="B100" s="24"/>
      <x:c r="C100" s="24"/>
      <x:c r="D100" s="24"/>
      <x:c r="E100" s="24"/>
      <x:c r="F100" s="24"/>
    </x:row>
    <x:row r="101">
      <x:c r="A101" s="32"/>
      <x:c r="B101" s="24"/>
      <x:c r="C101" s="24"/>
      <x:c r="D101" s="24"/>
      <x:c r="E101" s="24"/>
      <x:c r="F101" s="24"/>
    </x:row>
    <x:row r="102">
      <x:c r="A102" s="32"/>
      <x:c r="B102" s="24"/>
      <x:c r="C102" s="24"/>
      <x:c r="D102" s="24"/>
      <x:c r="E102" s="24"/>
      <x:c r="F102" s="24"/>
    </x:row>
    <x:row r="103">
      <x:c r="A103" s="32"/>
      <x:c r="B103" s="24"/>
      <x:c r="C103" s="24"/>
      <x:c r="D103" s="24"/>
      <x:c r="E103" s="24"/>
      <x:c r="F103" s="24"/>
    </x:row>
    <x:row r="104">
      <x:c r="A104" s="32"/>
      <x:c r="B104" s="24"/>
      <x:c r="C104" s="24"/>
      <x:c r="D104" s="24"/>
      <x:c r="E104" s="24"/>
      <x:c r="F104" s="24"/>
    </x:row>
    <x:row r="105">
      <x:c r="A105" s="32"/>
      <x:c r="B105" s="24"/>
      <x:c r="C105" s="24"/>
      <x:c r="D105" s="24"/>
      <x:c r="E105" s="24"/>
      <x:c r="F105" s="24"/>
    </x:row>
    <x:row r="106">
      <x:c r="A106" s="32"/>
      <x:c r="B106" s="24"/>
      <x:c r="C106" s="24"/>
      <x:c r="D106" s="24"/>
      <x:c r="E106" s="24"/>
      <x:c r="F106" s="24"/>
    </x:row>
    <x:row r="107">
      <x:c r="A107" s="32"/>
      <x:c r="B107" s="24"/>
      <x:c r="C107" s="24"/>
      <x:c r="D107" s="24"/>
      <x:c r="E107" s="24"/>
      <x:c r="F107" s="24"/>
    </x:row>
    <x:row r="108">
      <x:c r="A108" s="32"/>
      <x:c r="B108" s="24"/>
      <x:c r="C108" s="24"/>
      <x:c r="D108" s="24"/>
      <x:c r="E108" s="24"/>
      <x:c r="F108" s="24"/>
    </x:row>
    <x:row r="109">
      <x:c r="A109" s="32"/>
      <x:c r="B109" s="24"/>
      <x:c r="C109" s="24"/>
      <x:c r="D109" s="24"/>
      <x:c r="E109" s="24"/>
      <x:c r="F109" s="24"/>
    </x:row>
    <x:row r="110">
      <x:c r="A110" s="32"/>
      <x:c r="B110" s="24"/>
      <x:c r="C110" s="24"/>
      <x:c r="D110" s="24"/>
      <x:c r="E110" s="24"/>
      <x:c r="F110" s="24"/>
    </x:row>
    <x:row r="111">
      <x:c r="A111" s="32"/>
      <x:c r="B111" s="24"/>
      <x:c r="C111" s="24"/>
      <x:c r="D111" s="24"/>
      <x:c r="E111" s="24"/>
      <x:c r="F111" s="24"/>
    </x:row>
    <x:row r="112">
      <x:c r="A112" s="32"/>
      <x:c r="B112" s="24"/>
      <x:c r="C112" s="24"/>
      <x:c r="D112" s="24"/>
      <x:c r="E112" s="24"/>
      <x:c r="F112" s="24"/>
    </x:row>
    <x:row r="113">
      <x:c r="A113" s="32"/>
      <x:c r="B113" s="24"/>
      <x:c r="C113" s="24"/>
      <x:c r="D113" s="24"/>
      <x:c r="E113" s="24"/>
      <x:c r="F113" s="24"/>
    </x:row>
    <x:row r="114">
      <x:c r="A114" s="32"/>
      <x:c r="B114" s="24"/>
      <x:c r="C114" s="24"/>
      <x:c r="D114" s="24"/>
      <x:c r="E114" s="24"/>
      <x:c r="F114" s="24"/>
    </x:row>
    <x:row r="115">
      <x:c r="A115" s="32"/>
      <x:c r="B115" s="24"/>
      <x:c r="C115" s="24"/>
      <x:c r="D115" s="24"/>
      <x:c r="E115" s="24"/>
      <x:c r="F115" s="24"/>
    </x:row>
    <x:row r="116">
      <x:c r="A116" s="32"/>
      <x:c r="B116" s="24"/>
      <x:c r="C116" s="24"/>
      <x:c r="D116" s="24"/>
      <x:c r="E116" s="24"/>
      <x:c r="F116" s="24"/>
    </x:row>
    <x:row r="117">
      <x:c r="A117" s="32"/>
      <x:c r="B117" s="24"/>
      <x:c r="C117" s="24"/>
      <x:c r="D117" s="24"/>
      <x:c r="E117" s="24"/>
      <x:c r="F117" s="24"/>
    </x:row>
    <x:row r="118">
      <x:c r="A118" s="32"/>
      <x:c r="B118" s="24"/>
      <x:c r="C118" s="24"/>
      <x:c r="D118" s="24"/>
      <x:c r="E118" s="24"/>
      <x:c r="F118" s="24"/>
    </x:row>
    <x:row r="119">
      <x:c r="A119" s="32"/>
      <x:c r="B119" s="24"/>
      <x:c r="C119" s="24"/>
      <x:c r="D119" s="24"/>
      <x:c r="E119" s="24"/>
      <x:c r="F119" s="24"/>
    </x:row>
    <x:row r="120">
      <x:c r="A120" s="32"/>
      <x:c r="B120" s="24"/>
      <x:c r="C120" s="24"/>
      <x:c r="D120" s="24"/>
      <x:c r="E120" s="24"/>
      <x:c r="F120" s="24"/>
    </x:row>
    <x:row r="121">
      <x:c r="A121" s="32"/>
      <x:c r="B121" s="24"/>
      <x:c r="C121" s="24"/>
      <x:c r="D121" s="24"/>
      <x:c r="E121" s="24"/>
      <x:c r="F121" s="24"/>
    </x:row>
    <x:row r="122">
      <x:c r="A122" s="32"/>
      <x:c r="B122" s="24"/>
      <x:c r="C122" s="24"/>
      <x:c r="D122" s="24"/>
      <x:c r="E122" s="24"/>
      <x:c r="F122" s="24"/>
    </x:row>
    <x:row r="123">
      <x:c r="A123" s="32"/>
      <x:c r="B123" s="24"/>
      <x:c r="C123" s="24"/>
      <x:c r="D123" s="24"/>
      <x:c r="E123" s="24"/>
      <x:c r="F123" s="24"/>
    </x:row>
    <x:row r="124">
      <x:c r="A124" s="32"/>
      <x:c r="B124" s="24"/>
      <x:c r="C124" s="24"/>
      <x:c r="D124" s="24"/>
      <x:c r="E124" s="24"/>
      <x:c r="F124" s="24"/>
    </x:row>
    <x:row r="125">
      <x:c r="A125" s="32"/>
      <x:c r="B125" s="24"/>
      <x:c r="C125" s="24"/>
      <x:c r="D125" s="24"/>
      <x:c r="E125" s="24"/>
      <x:c r="F125" s="24"/>
    </x:row>
    <x:row r="126">
      <x:c r="A126" s="32"/>
      <x:c r="B126" s="24"/>
      <x:c r="C126" s="24"/>
      <x:c r="D126" s="24"/>
      <x:c r="E126" s="24"/>
      <x:c r="F126" s="24"/>
    </x:row>
    <x:row r="127">
      <x:c r="A127" s="32"/>
      <x:c r="B127" s="24"/>
      <x:c r="C127" s="24"/>
      <x:c r="D127" s="24"/>
      <x:c r="E127" s="24"/>
      <x:c r="F127" s="24"/>
    </x:row>
    <x:row r="128">
      <x:c r="A128" s="32"/>
      <x:c r="B128" s="24"/>
      <x:c r="C128" s="24"/>
      <x:c r="D128" s="24"/>
      <x:c r="E128" s="24"/>
      <x:c r="F128" s="24"/>
    </x:row>
    <x:row r="129">
      <x:c r="A129" s="32"/>
      <x:c r="B129" s="24"/>
      <x:c r="C129" s="24"/>
      <x:c r="D129" s="24"/>
      <x:c r="E129" s="24"/>
      <x:c r="F129" s="24"/>
    </x:row>
    <x:row r="130">
      <x:c r="A130" s="32"/>
      <x:c r="B130" s="24"/>
      <x:c r="C130" s="24"/>
      <x:c r="D130" s="24"/>
      <x:c r="E130" s="24"/>
      <x:c r="F130" s="24"/>
    </x:row>
    <x:row r="131">
      <x:c r="A131" s="32"/>
      <x:c r="B131" s="24"/>
      <x:c r="C131" s="24"/>
      <x:c r="D131" s="24"/>
      <x:c r="E131" s="24"/>
      <x:c r="F131" s="24"/>
    </x:row>
    <x:row r="132">
      <x:c r="A132" s="32"/>
      <x:c r="B132" s="24"/>
      <x:c r="C132" s="24"/>
      <x:c r="D132" s="24"/>
      <x:c r="E132" s="24"/>
      <x:c r="F132" s="24"/>
    </x:row>
    <x:row r="133">
      <x:c r="A133" s="32"/>
      <x:c r="B133" s="24"/>
      <x:c r="C133" s="24"/>
      <x:c r="D133" s="24"/>
      <x:c r="E133" s="24"/>
      <x:c r="F133" s="24"/>
    </x:row>
    <x:row r="134">
      <x:c r="A134" s="32"/>
      <x:c r="B134" s="24"/>
      <x:c r="C134" s="24"/>
      <x:c r="D134" s="24"/>
      <x:c r="E134" s="24"/>
      <x:c r="F134" s="24"/>
    </x:row>
    <x:row r="135">
      <x:c r="A135" s="32"/>
      <x:c r="B135" s="24"/>
      <x:c r="C135" s="24"/>
      <x:c r="D135" s="24"/>
      <x:c r="E135" s="24"/>
      <x:c r="F135" s="24"/>
    </x:row>
    <x:row r="136">
      <x:c r="A136" s="32"/>
      <x:c r="B136" s="24"/>
      <x:c r="C136" s="24"/>
      <x:c r="D136" s="24"/>
      <x:c r="E136" s="24"/>
      <x:c r="F136" s="24"/>
    </x:row>
    <x:row r="137">
      <x:c r="A137" s="32"/>
      <x:c r="B137" s="24"/>
      <x:c r="C137" s="24"/>
      <x:c r="D137" s="24"/>
      <x:c r="E137" s="24"/>
      <x:c r="F137" s="24"/>
    </x:row>
    <x:row r="138">
      <x:c r="A138" s="32"/>
      <x:c r="B138" s="24"/>
      <x:c r="C138" s="24"/>
      <x:c r="D138" s="24"/>
      <x:c r="E138" s="24"/>
      <x:c r="F138" s="24"/>
    </x:row>
    <x:row r="139">
      <x:c r="A139" s="32"/>
      <x:c r="B139" s="24"/>
      <x:c r="C139" s="24"/>
      <x:c r="D139" s="24"/>
      <x:c r="E139" s="24"/>
      <x:c r="F139" s="24"/>
    </x:row>
    <x:row r="140">
      <x:c r="A140" s="32"/>
      <x:c r="B140" s="24"/>
      <x:c r="C140" s="24"/>
      <x:c r="D140" s="24"/>
      <x:c r="E140" s="24"/>
      <x:c r="F140" s="24"/>
    </x:row>
    <x:row r="141">
      <x:c r="A141" s="32"/>
      <x:c r="B141" s="24"/>
      <x:c r="C141" s="24"/>
      <x:c r="D141" s="24"/>
      <x:c r="E141" s="24"/>
      <x:c r="F141" s="24"/>
    </x:row>
    <x:row r="142">
      <x:c r="A142" s="32"/>
      <x:c r="B142" s="24"/>
      <x:c r="C142" s="24"/>
      <x:c r="D142" s="24"/>
      <x:c r="E142" s="24"/>
      <x:c r="F142" s="24"/>
    </x:row>
    <x:row r="143">
      <x:c r="A143" s="32"/>
      <x:c r="B143" s="24"/>
      <x:c r="C143" s="24"/>
      <x:c r="D143" s="24"/>
      <x:c r="E143" s="24"/>
      <x:c r="F143" s="24"/>
    </x:row>
    <x:row r="144">
      <x:c r="A144" s="32"/>
      <x:c r="B144" s="24"/>
      <x:c r="C144" s="24"/>
      <x:c r="D144" s="24"/>
      <x:c r="E144" s="24"/>
      <x:c r="F144" s="24"/>
    </x:row>
    <x:row r="145">
      <x:c r="A145" s="32"/>
      <x:c r="B145" s="24"/>
      <x:c r="C145" s="24"/>
      <x:c r="D145" s="24"/>
      <x:c r="E145" s="24"/>
      <x:c r="F145" s="24"/>
    </x:row>
    <x:row r="146">
      <x:c r="A146" s="32"/>
      <x:c r="B146" s="24"/>
      <x:c r="C146" s="24"/>
      <x:c r="D146" s="24"/>
      <x:c r="E146" s="24"/>
      <x:c r="F146" s="24"/>
    </x:row>
    <x:row r="147">
      <x:c r="A147" s="32"/>
      <x:c r="B147" s="24"/>
      <x:c r="C147" s="24"/>
      <x:c r="D147" s="24"/>
      <x:c r="E147" s="24"/>
      <x:c r="F147" s="24"/>
    </x:row>
    <x:row r="148">
      <x:c r="A148" s="32"/>
      <x:c r="B148" s="24"/>
      <x:c r="C148" s="24"/>
      <x:c r="D148" s="24"/>
      <x:c r="E148" s="24"/>
      <x:c r="F148" s="24"/>
    </x:row>
    <x:row r="149">
      <x:c r="A149" s="32"/>
      <x:c r="B149" s="24"/>
      <x:c r="C149" s="24"/>
      <x:c r="D149" s="24"/>
      <x:c r="E149" s="24"/>
      <x:c r="F149" s="24"/>
    </x:row>
    <x:row r="150">
      <x:c r="A150" s="32"/>
      <x:c r="B150" s="24"/>
      <x:c r="C150" s="24"/>
      <x:c r="D150" s="24"/>
      <x:c r="E150" s="24"/>
      <x:c r="F150" s="24"/>
    </x:row>
    <x:row r="151">
      <x:c r="A151" s="32"/>
      <x:c r="B151" s="24"/>
      <x:c r="C151" s="24"/>
      <x:c r="D151" s="24"/>
      <x:c r="E151" s="24"/>
      <x:c r="F151" s="24"/>
    </x:row>
  </x:sheetData>
  <x:dataValidations count="2">
    <x:dataValidation type="list" sqref="C2:C151">
      <x:formula1>_Lists!$H$2:$H$10</x:formula1>
    </x:dataValidation>
    <x:dataValidation type="list" sqref="D2:E151">
      <x:formula1>_Lists!$A$2:$A$10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8df5c9b8974b1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>
      <x:c r="A1" s="6" t="str">
        <x:v>Status</x:v>
      </x:c>
      <x:c r="B1" s="6" t="str">
        <x:v>AI Verdict</x:v>
      </x:c>
      <x:c r="C1" s="6" t="str">
        <x:v>Source</x:v>
      </x:c>
      <x:c r="D1" s="6" t="str">
        <x:v>Drop Reason</x:v>
      </x:c>
      <x:c r="E1" s="6" t="str">
        <x:v>Process Stage</x:v>
      </x:c>
      <x:c r="F1" s="6" t="str">
        <x:v>Contact Type</x:v>
      </x:c>
      <x:c r="G1" s="6" t="str">
        <x:v>Outreach Status</x:v>
      </x:c>
      <x:c r="H1" s="6" t="str">
        <x:v>Event</x:v>
      </x:c>
      <x:c r="I1" s="6" t="str">
        <x:v>Discovery Origin</x:v>
      </x:c>
      <x:c r="J1" s="6" t="str">
        <x:v>Link Status</x:v>
      </x:c>
      <x:c r="K1" s="6" t="str">
        <x:v>Contact Enrichment</x:v>
      </x:c>
      <x:c r="L1" s="6" t="str">
        <x:v>Contact Confidence</x:v>
      </x:c>
    </x:row>
    <x:row r="2">
      <x:c r="A2" t="str">
        <x:v>Discovered</x:v>
      </x:c>
      <x:c r="B2" t="str">
        <x:v>Priority Apply</x:v>
      </x:c>
      <x:c r="C2" t="str">
        <x:v>Company Careers</x:v>
      </x:c>
      <x:c r="D2" t="str">
        <x:v>Poor role fit</x:v>
      </x:c>
      <x:c r="E2" t="str">
        <x:v>Not started</x:v>
      </x:c>
      <x:c r="F2" t="str">
        <x:v>Recruiter</x:v>
      </x:c>
      <x:c r="G2" t="str">
        <x:v>Not Contacted</x:v>
      </x:c>
      <x:c r="H2" t="str">
        <x:v>Application Submitted</x:v>
      </x:c>
      <x:c r="I2" t="str">
        <x:v>AI</x:v>
      </x:c>
      <x:c r="J2" t="str">
        <x:v>Live</x:v>
      </x:c>
      <x:c r="K2" t="str">
        <x:v>Not Started</x:v>
      </x:c>
      <x:c r="L2" t="str">
        <x:v>Confirmed</x:v>
      </x:c>
    </x:row>
    <x:row r="3">
      <x:c r="A3" t="str">
        <x:v>Review</x:v>
      </x:c>
      <x:c r="B3" t="str">
        <x:v>Apply</x:v>
      </x:c>
      <x:c r="C3" t="str">
        <x:v>LinkedIn</x:v>
      </x:c>
      <x:c r="D3" t="str">
        <x:v>Sales-heavy</x:v>
      </x:c>
      <x:c r="E3" t="str">
        <x:v>Applied</x:v>
      </x:c>
      <x:c r="F3" t="str">
        <x:v>Job Poster</x:v>
      </x:c>
      <x:c r="G3" t="str">
        <x:v>Connection Sent</x:v>
      </x:c>
      <x:c r="H3" t="str">
        <x:v>Recruiter Screen</x:v>
      </x:c>
      <x:c r="I3" t="str">
        <x:v>User</x:v>
      </x:c>
      <x:c r="J3" t="str">
        <x:v>Unverified</x:v>
      </x:c>
      <x:c r="K3" t="str">
        <x:v>Complete</x:v>
      </x:c>
      <x:c r="L3" t="str">
        <x:v>High</x:v>
      </x:c>
    </x:row>
    <x:row r="4">
      <x:c r="A4" t="str">
        <x:v>Applied</x:v>
      </x:c>
      <x:c r="B4" t="str">
        <x:v>Conditional</x:v>
      </x:c>
      <x:c r="C4" t="str">
        <x:v>Job Board</x:v>
      </x:c>
      <x:c r="D4" t="str">
        <x:v>Too technical</x:v>
      </x:c>
      <x:c r="E4" t="str">
        <x:v>Assessment</x:v>
      </x:c>
      <x:c r="F4" t="str">
        <x:v>Hiring Manager</x:v>
      </x:c>
      <x:c r="G4" t="str">
        <x:v>Message Sent</x:v>
      </x:c>
      <x:c r="H4" t="str">
        <x:v>Assessment</x:v>
      </x:c>
      <x:c r="J4" t="str">
        <x:v>Stale</x:v>
      </x:c>
      <x:c r="K4" t="str">
        <x:v>Partial</x:v>
      </x:c>
      <x:c r="L4" t="str">
        <x:v>Medium</x:v>
      </x:c>
    </x:row>
    <x:row r="5">
      <x:c r="A5" t="str">
        <x:v>Recruiter Screen</x:v>
      </x:c>
      <x:c r="B5" t="str">
        <x:v>Drop</x:v>
      </x:c>
      <x:c r="C5" t="str">
        <x:v>Recruiter</x:v>
      </x:c>
      <x:c r="D5" t="str">
        <x:v>Finance/domain mismatch</x:v>
      </x:c>
      <x:c r="E5" t="str">
        <x:v>Recruiter Screen</x:v>
      </x:c>
      <x:c r="F5" t="str">
        <x:v>Likely Hiring User</x:v>
      </x:c>
      <x:c r="G5" t="str">
        <x:v>Email Sent</x:v>
      </x:c>
      <x:c r="H5" t="str">
        <x:v>Interview</x:v>
      </x:c>
      <x:c r="J5" t="str">
        <x:v>Closed</x:v>
      </x:c>
      <x:c r="K5" t="str">
        <x:v>Not Found</x:v>
      </x:c>
      <x:c r="L5" t="str">
        <x:v>Low</x:v>
      </x:c>
    </x:row>
    <x:row r="6">
      <x:c r="A6" t="str">
        <x:v>Interview</x:v>
      </x:c>
      <x:c r="C6" t="str">
        <x:v>Referral</x:v>
      </x:c>
      <x:c r="D6" t="str">
        <x:v>Sector/product</x:v>
      </x:c>
      <x:c r="E6" t="str">
        <x:v>Interview 1</x:v>
      </x:c>
      <x:c r="F6" t="str">
        <x:v>Functional Manager</x:v>
      </x:c>
      <x:c r="G6" t="str">
        <x:v>Replied</x:v>
      </x:c>
      <x:c r="H6" t="str">
        <x:v>Rejected</x:v>
      </x:c>
      <x:c r="J6" t="str">
        <x:v>Redirected</x:v>
      </x:c>
    </x:row>
    <x:row r="7">
      <x:c r="A7" t="str">
        <x:v>Offer</x:v>
      </x:c>
      <x:c r="C7" t="str">
        <x:v>Social Media</x:v>
      </x:c>
      <x:c r="D7" t="str">
        <x:v>Company quality</x:v>
      </x:c>
      <x:c r="E7" t="str">
        <x:v>Interview 2</x:v>
      </x:c>
      <x:c r="F7" t="str">
        <x:v>Role-Adjacent</x:v>
      </x:c>
      <x:c r="G7" t="str">
        <x:v>Closed</x:v>
      </x:c>
      <x:c r="H7" t="str">
        <x:v>Dropped</x:v>
      </x:c>
    </x:row>
    <x:row r="8">
      <x:c r="A8" t="str">
        <x:v>Rejected</x:v>
      </x:c>
      <x:c r="C8" t="str">
        <x:v>Other</x:v>
      </x:c>
      <x:c r="D8" t="str">
        <x:v>Politics/policy</x:v>
      </x:c>
      <x:c r="E8" t="str">
        <x:v>Case/Technical</x:v>
      </x:c>
      <x:c r="F8" t="str">
        <x:v>Referral</x:v>
      </x:c>
      <x:c r="H8" t="str">
        <x:v>Offer</x:v>
      </x:c>
    </x:row>
    <x:row r="9">
      <x:c r="A9" t="str">
        <x:v>Dropped</x:v>
      </x:c>
      <x:c r="D9" t="str">
        <x:v>Location/commute</x:v>
      </x:c>
      <x:c r="E9" t="str">
        <x:v>Final Interview</x:v>
      </x:c>
      <x:c r="F9" t="str">
        <x:v>Other</x:v>
      </x:c>
      <x:c r="H9" t="str">
        <x:v>Outreach Sent</x:v>
      </x:c>
    </x:row>
    <x:row r="10">
      <x:c r="A10" t="str">
        <x:v>Closed</x:v>
      </x:c>
      <x:c r="D10" t="str">
        <x:v>Seniority mismatch</x:v>
      </x:c>
      <x:c r="E10" t="str">
        <x:v>Offer</x:v>
      </x:c>
      <x:c r="H10" t="str">
        <x:v>Status Change</x:v>
      </x:c>
    </x:row>
    <x:row r="11">
      <x:c r="D11" t="str">
        <x:v>Compensation</x:v>
      </x:c>
    </x:row>
    <x:row r="12">
      <x:c r="D12" t="str">
        <x:v>Posting closed</x:v>
      </x:c>
    </x:row>
    <x:row r="13">
      <x:c r="D13" t="str">
        <x:v>Duplicate</x:v>
      </x:c>
    </x:row>
    <x:row r="14">
      <x:c r="D14" t="str">
        <x:v>Application friction</x:v>
      </x:c>
    </x:row>
    <x:row r="15">
      <x:c r="D15" t="str">
        <x:v>Personal preference</x:v>
      </x:c>
    </x:row>
    <x:row r="16">
      <x:c r="D16" t="str">
        <x:v>Other</x:v>
      </x:c>
    </x:row>
  </x:sheetData>
  <x:pageMargins left="0.7" right="0.7" top="0.75" bottom="0.75" header="0.3" footer="0.3"/>
</x:worksheet>
</file>